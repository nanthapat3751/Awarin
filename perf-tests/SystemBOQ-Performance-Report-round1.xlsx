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ปี4_1\ปัญหาพิเศษ\systemboq\perf-tests\"/>
    </mc:Choice>
  </mc:AlternateContent>
  <xr:revisionPtr revIDLastSave="0" documentId="13_ncr:1_{0C362756-7E63-44E2-81E9-5A75E806F6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สรุปผล" sheetId="1" r:id="rId1"/>
    <sheet name="วิธีทดสอบและเกณฑ์" sheetId="2" r:id="rId2"/>
    <sheet name="ผลรายเส้น API" sheetId="3" r:id="rId3"/>
    <sheet name="ผลตามช่วงเวลา" sheetId="4" r:id="rId4"/>
    <sheet name="ทรัพยากรเครื่อง" sheetId="5" r:id="rId5"/>
    <sheet name="ข้อสังเกต" sheetId="6" r:id="rId6"/>
  </sheets>
  <definedNames>
    <definedName name="_xlnm._FilterDatabase" localSheetId="2" hidden="1">'ผลรายเส้น API'!$A$4:$M$65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4" l="1"/>
  <c r="E66" i="4"/>
  <c r="G65" i="4"/>
  <c r="E65" i="4"/>
  <c r="G64" i="4"/>
  <c r="E64" i="4"/>
  <c r="G63" i="4"/>
  <c r="E63" i="4"/>
  <c r="G62" i="4"/>
  <c r="E62" i="4"/>
  <c r="G61" i="4"/>
  <c r="E61" i="4"/>
  <c r="G60" i="4"/>
  <c r="E60" i="4"/>
  <c r="G59" i="4"/>
  <c r="E59" i="4"/>
  <c r="G58" i="4"/>
  <c r="E58" i="4"/>
  <c r="G57" i="4"/>
  <c r="E57" i="4"/>
  <c r="G56" i="4"/>
  <c r="E56" i="4"/>
  <c r="G55" i="4"/>
  <c r="E55" i="4"/>
  <c r="G54" i="4"/>
  <c r="E54" i="4"/>
  <c r="G53" i="4"/>
  <c r="E53" i="4"/>
  <c r="G51" i="4"/>
  <c r="E51" i="4"/>
  <c r="G50" i="4"/>
  <c r="E50" i="4"/>
  <c r="G49" i="4"/>
  <c r="E49" i="4"/>
  <c r="G48" i="4"/>
  <c r="E48" i="4"/>
  <c r="G47" i="4"/>
  <c r="E47" i="4"/>
  <c r="G46" i="4"/>
  <c r="E46" i="4"/>
  <c r="G45" i="4"/>
  <c r="E45" i="4"/>
  <c r="G44" i="4"/>
  <c r="E44" i="4"/>
  <c r="G43" i="4"/>
  <c r="E43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F65" i="3"/>
  <c r="M65" i="3" s="1"/>
  <c r="J9" i="1" s="1"/>
  <c r="K9" i="1" s="1"/>
  <c r="F64" i="3"/>
  <c r="M64" i="3" s="1"/>
  <c r="F63" i="3"/>
  <c r="M63" i="3" s="1"/>
  <c r="F62" i="3"/>
  <c r="M62" i="3" s="1"/>
  <c r="F61" i="3"/>
  <c r="M61" i="3" s="1"/>
  <c r="F60" i="3"/>
  <c r="M60" i="3" s="1"/>
  <c r="F59" i="3"/>
  <c r="M59" i="3" s="1"/>
  <c r="F58" i="3"/>
  <c r="M58" i="3" s="1"/>
  <c r="F57" i="3"/>
  <c r="M57" i="3" s="1"/>
  <c r="F56" i="3"/>
  <c r="M56" i="3" s="1"/>
  <c r="F55" i="3"/>
  <c r="M55" i="3" s="1"/>
  <c r="F54" i="3"/>
  <c r="M54" i="3" s="1"/>
  <c r="F53" i="3"/>
  <c r="M53" i="3" s="1"/>
  <c r="F52" i="3"/>
  <c r="M52" i="3" s="1"/>
  <c r="F51" i="3"/>
  <c r="M51" i="3" s="1"/>
  <c r="F50" i="3"/>
  <c r="M50" i="3" s="1"/>
  <c r="J8" i="1" s="1"/>
  <c r="K8" i="1" s="1"/>
  <c r="F49" i="3"/>
  <c r="M49" i="3" s="1"/>
  <c r="F48" i="3"/>
  <c r="M48" i="3" s="1"/>
  <c r="F47" i="3"/>
  <c r="M47" i="3" s="1"/>
  <c r="F46" i="3"/>
  <c r="M46" i="3" s="1"/>
  <c r="F45" i="3"/>
  <c r="M45" i="3" s="1"/>
  <c r="F44" i="3"/>
  <c r="M44" i="3" s="1"/>
  <c r="F43" i="3"/>
  <c r="M43" i="3" s="1"/>
  <c r="F42" i="3"/>
  <c r="M42" i="3" s="1"/>
  <c r="F41" i="3"/>
  <c r="M41" i="3" s="1"/>
  <c r="F40" i="3"/>
  <c r="M40" i="3" s="1"/>
  <c r="F39" i="3"/>
  <c r="M39" i="3" s="1"/>
  <c r="F38" i="3"/>
  <c r="M38" i="3" s="1"/>
  <c r="F37" i="3"/>
  <c r="M37" i="3" s="1"/>
  <c r="F36" i="3"/>
  <c r="M36" i="3" s="1"/>
  <c r="F35" i="3"/>
  <c r="M35" i="3" s="1"/>
  <c r="J7" i="1" s="1"/>
  <c r="K7" i="1" s="1"/>
  <c r="F34" i="3"/>
  <c r="M34" i="3" s="1"/>
  <c r="F33" i="3"/>
  <c r="M33" i="3" s="1"/>
  <c r="F32" i="3"/>
  <c r="M32" i="3" s="1"/>
  <c r="F31" i="3"/>
  <c r="M31" i="3" s="1"/>
  <c r="F30" i="3"/>
  <c r="M30" i="3" s="1"/>
  <c r="F29" i="3"/>
  <c r="M29" i="3" s="1"/>
  <c r="F28" i="3"/>
  <c r="M28" i="3" s="1"/>
  <c r="F27" i="3"/>
  <c r="M27" i="3" s="1"/>
  <c r="F26" i="3"/>
  <c r="M26" i="3" s="1"/>
  <c r="F25" i="3"/>
  <c r="M25" i="3" s="1"/>
  <c r="F24" i="3"/>
  <c r="M24" i="3" s="1"/>
  <c r="F23" i="3"/>
  <c r="M23" i="3" s="1"/>
  <c r="F22" i="3"/>
  <c r="M22" i="3" s="1"/>
  <c r="F21" i="3"/>
  <c r="M21" i="3" s="1"/>
  <c r="F20" i="3"/>
  <c r="M20" i="3" s="1"/>
  <c r="J6" i="1" s="1"/>
  <c r="K6" i="1" s="1"/>
  <c r="F19" i="3"/>
  <c r="M19" i="3" s="1"/>
  <c r="F18" i="3"/>
  <c r="M18" i="3" s="1"/>
  <c r="F17" i="3"/>
  <c r="M17" i="3" s="1"/>
  <c r="F16" i="3"/>
  <c r="M16" i="3" s="1"/>
  <c r="F15" i="3"/>
  <c r="M15" i="3" s="1"/>
  <c r="F14" i="3"/>
  <c r="M14" i="3" s="1"/>
  <c r="F13" i="3"/>
  <c r="M13" i="3" s="1"/>
  <c r="F12" i="3"/>
  <c r="M12" i="3" s="1"/>
  <c r="F11" i="3"/>
  <c r="M11" i="3" s="1"/>
  <c r="F10" i="3"/>
  <c r="M10" i="3" s="1"/>
  <c r="F9" i="3"/>
  <c r="M9" i="3" s="1"/>
  <c r="F8" i="3"/>
  <c r="M8" i="3" s="1"/>
  <c r="F7" i="3"/>
  <c r="M7" i="3" s="1"/>
  <c r="F6" i="3"/>
  <c r="M6" i="3" s="1"/>
  <c r="F5" i="3"/>
  <c r="M5" i="3" s="1"/>
  <c r="E9" i="1"/>
  <c r="D9" i="1"/>
  <c r="E8" i="1"/>
  <c r="D8" i="1"/>
  <c r="E7" i="1"/>
  <c r="D7" i="1"/>
  <c r="E6" i="1"/>
  <c r="D6" i="1"/>
  <c r="E5" i="1"/>
  <c r="E10" i="1" s="1"/>
  <c r="D5" i="1"/>
  <c r="J5" i="1" l="1"/>
  <c r="K5" i="1" s="1"/>
  <c r="F9" i="1"/>
  <c r="G9" i="1"/>
  <c r="F8" i="1"/>
  <c r="G8" i="1"/>
  <c r="G7" i="1"/>
  <c r="F7" i="1"/>
  <c r="G6" i="1"/>
  <c r="F6" i="1"/>
  <c r="D10" i="1"/>
  <c r="F10" i="1" s="1"/>
  <c r="G5" i="1"/>
  <c r="F5" i="1"/>
</calcChain>
</file>

<file path=xl/sharedStrings.xml><?xml version="1.0" encoding="utf-8"?>
<sst xmlns="http://schemas.openxmlformats.org/spreadsheetml/2006/main" count="541" uniqueCount="170">
  <si>
    <t>รายงานผล Performance Test — SystemBOQ</t>
  </si>
  <si>
    <t>สร้างเมื่อ 23/10/2569 16:51 · ทดสอบบนเครื่องพัฒนาด้วย k6 · รายละเอียดวิธีทดสอบอยู่ที่แผ่นงาน 'วิธีทดสอบและเกณฑ์'</t>
  </si>
  <si>
    <t>รูปแบบ</t>
  </si>
  <si>
    <t>ผู้ใช้พร้อมกันสูงสุด</t>
  </si>
  <si>
    <t>ระยะเวลา (วินาที)</t>
  </si>
  <si>
    <t>จำนวนคำขอ</t>
  </si>
  <si>
    <t>ไม่สำเร็จ</t>
  </si>
  <si>
    <t>อัตรา error</t>
  </si>
  <si>
    <t>คำขอ/วินาที</t>
  </si>
  <si>
    <t>p95 ทั้งหมด (ms)</t>
  </si>
  <si>
    <t>ช้าสุด (ms)</t>
  </si>
  <si>
    <t>เส้นที่ไม่ผ่าน</t>
  </si>
  <si>
    <t>ผล</t>
  </si>
  <si>
    <t>Smoke test — ตรวจว่าทุกเส้นทำงาน</t>
  </si>
  <si>
    <t>Load test — ใช้งานปกติต่อเนื่อง</t>
  </si>
  <si>
    <t>Stress test — เพิ่มผู้ใช้จนเห็นขีดจำกัด</t>
  </si>
  <si>
    <t>Spike test — ผู้ใช้พุ่งขึ้นกะทันหัน</t>
  </si>
  <si>
    <t>PDF test — สร้าง PDF ใบเสนอราคาพร้อมกัน</t>
  </si>
  <si>
    <t>รวม</t>
  </si>
  <si>
    <t>สรุปสั้น</t>
  </si>
  <si>
    <t>• ใช้งานปกติ (40 คนพร้อมกัน) เร็วมาก: p95 53 ms · ไม่มี error สักคำขอจาก 20,374 คำขอ — ผ่านทุกเส้น</t>
  </si>
  <si>
    <t>• ระบบรับได้สูงสุดราว 246 คำขอ/วินาที — เกิน ~150 คนพร้อมกัน เวลาตอบเริ่มเพิ่ม (300 คน p95 ≈ 1.5 วินาที) แต่ไม่มี error แม้แต่คำขอเดียว</t>
  </si>
  <si>
    <t>• หน้าเว็บลูกค้า (แบบบ้าน ผลงาน ค่าตั้งเว็บ) ยังผ่านเกณฑ์แม้ช่วง 300 คน: p95 541–605 ms — ที่ไม่ผ่านเป็นเส้นของพนักงานล้วน</t>
  </si>
  <si>
    <t>• คอขวดอยู่ที่ API (Node 1 โปรเซส) ไม่ใช่ฐานข้อมูล — ฐานข้อมูลใช้ CPU ไม่ถึงหนึ่งในสี่คอร์ เส้นที่ส่งข้อมูลก้อนใหญ่ (BOQ / รายละเอียดโครงการ ~50 KB) ช้าที่สุด</t>
  </si>
  <si>
    <t>• ผู้ใช้พุ่งกะทันหัน (spike) ระบบไม่ล่ม และกลับมาเร็วทันที (p95 49 ms) หลังคนลดลง</t>
  </si>
  <si>
    <t>• สร้าง PDF ใบเสนอราคาใบละ ~1.7–2.2 วินาที คงที่ตั้งแต่ 1–5 คนพร้อมกัน (ใบแรกหลังเปิดเซิร์ฟเวอร์ 12 วินาที เพราะต้องเปิด Chromium)</t>
  </si>
  <si>
    <t>• stress / spike 'ไม่ผ่าน' เกณฑ์ 800 ms ที่ระดับ 300 คน = ตั้งใจดันเกินการใช้งานจริงเพื่อหาขีดจำกัด (บริษัทมีพนักงานหลักสิบ)</t>
  </si>
  <si>
    <t>วิธีทดสอบและเกณฑ์ตัดสิน</t>
  </si>
  <si>
    <t>Performance test ระบบ SystemBOQ บนเครื่องพัฒนา (ไม่ได้ทดสอบเว็บจริงที่ deploy)</t>
  </si>
  <si>
    <t>สภาพแวดล้อม</t>
  </si>
  <si>
    <t>หัวข้อ</t>
  </si>
  <si>
    <t>รายละเอียด</t>
  </si>
  <si>
    <t>วันที่ทดสอบ</t>
  </si>
  <si>
    <t>23 ตุลาคม 2569 (16:30–16:47 น.)</t>
  </si>
  <si>
    <t>โค้ดที่ทดสอบ</t>
  </si>
  <si>
    <t>commit 1be46db (สาขา feature/deploy-docker = รุ่นเดียวกับที่ deploy ขึ้น awarin.tech)</t>
  </si>
  <si>
    <t>เครื่องที่ทดสอบ</t>
  </si>
  <si>
    <t>เครื่องพัฒนา Windows 11 · Intel Core i5-14500HX (14 คอร์ / 20 เธรด) · RAM 15.7 GB</t>
  </si>
  <si>
    <t>API</t>
  </si>
  <si>
    <t>Node.js 22.19 โหมดพัฒนา (tsx watch) · 1 โปรเซส · ไม่ส่งอีเมลจริง (MAIL_TRANSPORT=silent)</t>
  </si>
  <si>
    <t>ฐานข้อมูล</t>
  </si>
  <si>
    <t>PostgreSQL 17.10 ในคอนเทนเนอร์ Docker · ข้อมูล dev: โครงการ 10 · วัสดุ 121 · หมวดงาน 163</t>
  </si>
  <si>
    <t>โครงการที่ใช้ทดสอบ</t>
  </si>
  <si>
    <t>บ้านพักอาศัย 2 ชั้น — BOQ 178 รายการ + ใบเสนอราคา 1 ใบ (ใช้สร้าง PDF)</t>
  </si>
  <si>
    <t>เครื่องมือ</t>
  </si>
  <si>
    <t>k6 v2.3.0 (grafana/k6 ในคอนเทนเนอร์ Docker) ยิงไปที่ API ผ่าน host.docker.internal:4000</t>
  </si>
  <si>
    <t>บัญชีที่ใช้</t>
  </si>
  <si>
    <t>บัญชีพนักงานชั่วคราว (ADMIN) สร้างก่อนทดสอบและลบหลังทดสอบ · ล็อกอินครั้งเดียวแล้วทุกคนใช้ session เดียวกัน</t>
  </si>
  <si>
    <t>เกณฑ์ตัดสิน (แก้ตัวเลขได้ — แผ่นงานอื่นอ้างช่องเหล่านี้)</t>
  </si>
  <si>
    <t>เกณฑ์</t>
  </si>
  <si>
    <t>ค่า</t>
  </si>
  <si>
    <t>เวลาตอบ p95 ของเส้นอ่านข้อมูล ไม่เกิน (ms)</t>
  </si>
  <si>
    <t>เวลาตอบ p95 ของการสร้าง PDF ไม่เกิน (ms)</t>
  </si>
  <si>
    <t>อัตรา error ไม่เกิน</t>
  </si>
  <si>
    <t>ที่มาของเกณฑ์: ผู้ทดสอบกำหนดเอง (ระบบภายในบริษัท ผู้ใช้ไม่เกินหลักสิบคน) — p95 = 95% ของคำขอเร็วกว่าค่านี้</t>
  </si>
  <si>
    <t>รูปแบบการทดสอบ</t>
  </si>
  <si>
    <t>รูปแบบโหลด</t>
  </si>
  <si>
    <t>พนักงาน 1 + ผู้เข้าชม 1 คน 30 วินาที</t>
  </si>
  <si>
    <t>ไต่ขึ้น 1 นาที → พนักงาน 20 + ผู้เข้าชม 20 คน (รวม 40) ค้าง 3 นาที → ลง 30 วินาที</t>
  </si>
  <si>
    <t>ไต่เป็นขั้นนาทีละขั้น: กลุ่มละ 25 → 50 → 100 → 150 คน (รวมสูงสุด 300) → ลง 30 วินาที</t>
  </si>
  <si>
    <t>กลุ่มละ 5 คน 30 วินาที → พุ่งเป็นกลุ่มละ 150 (รวม 300) ใน 10 วินาที ค้าง 40 วินาที → ลดกลับ 5 คน</t>
  </si>
  <si>
    <t>สร้าง PDF ใบเสนอราคาพร้อมกัน 1 → 3 → 5 คน ระดับละ 1 นาที</t>
  </si>
  <si>
    <t>สิ่งที่ผู้ใช้จำลองทำ</t>
  </si>
  <si>
    <t>กลุ่ม</t>
  </si>
  <si>
    <t>ลำดับการใช้งาน</t>
  </si>
  <si>
    <t>ผู้เข้าชมเว็บลูกค้า</t>
  </si>
  <si>
    <t>ค่าตั้งเว็บ → แบบบ้านแนะนำ → รายการแบบบ้าน → รายการผลงาน → พักอ่าน 1–3 วินาที (ไม่ต้องล็อกอิน)</t>
  </si>
  <si>
    <t>พนักงาน</t>
  </si>
  <si>
    <t>ข้อมูลผู้ใช้ → แดชบอร์ด (สรุป + ท่อขาย) → แจ้งเตือน → พัก 1 วิ → รายการโครงการ → รายละเอียดโครงการ → BOQ → ใบเสนอราคา → พัก 1 วิ → คลังวัสดุ → แฟ้มลูกค้า → คำขอลูกค้า → พัก 1–3 วิ</t>
  </si>
  <si>
    <t>สร้าง PDF</t>
  </si>
  <si>
    <t>ขอ PDF ใบเสนอราคา (Chromium วาดเอกสาร) → พัก 1 วินาที</t>
  </si>
  <si>
    <t>ข้อจำกัด</t>
  </si>
  <si>
    <t>• ทดสอบบนเครื่องพัฒนา ไม่ใช่ VPS จริง (VPS = 2 vCPU / RAM 8 GB) — ใช้เทียบก่อน/หลังแก้ได้ แต่ตัวเลขไม่เท่าระบบจริง</t>
  </si>
  <si>
    <t>• API รันโหมดพัฒนา (tsx) ช้ากว่าไฟล์ที่ build แล้วบนระบบจริงเล็กน้อย</t>
  </si>
  <si>
    <t>• k6 กับระบบรันเครื่องเดียวกัน ไม่มีเวลาเดินทางของเน็ต และ k6 แย่ง CPU บางส่วน</t>
  </si>
  <si>
    <t>• ทดสอบเฉพาะการอ่านข้อมูล + สร้าง PDF — ไม่ได้ทดสอบการบันทึก/แก้ไข และไม่ยิงเส้นที่ส่งอีเมลหรือมีเพดานจำกัด (สมัคร ลืมรหัส ส่งคำขอติดต่อ)</t>
  </si>
  <si>
    <t>• ไม่ได้วัดเวลาโหลดหน้าเว็บ (HTML/JS/รูป) เพราะเครื่องพัฒนาใช้ Vite dev server ไม่ใช่ไฟล์ build จริง</t>
  </si>
  <si>
    <t>• Load test ยาว 4.5 นาที — สั้นเกินกว่าจะสรุปเรื่องหน่วยความจำรั่วระยะยาว</t>
  </si>
  <si>
    <t>ผลรายเส้น API</t>
  </si>
  <si>
    <t>เวลาตอบเป็นมิลลิวินาที (ms) คิดจากทุกคำขอ · ผ่าน = p95 ไม่เกินเกณฑ์ และ error ไม่เกินเกณฑ์ (สูตรอ้างแผ่นงาน 'วิธีทดสอบและเกณฑ์')</t>
  </si>
  <si>
    <t>เส้น API</t>
  </si>
  <si>
    <t>ทำอะไร</t>
  </si>
  <si>
    <t>เฉลี่ย</t>
  </si>
  <si>
    <t>p50</t>
  </si>
  <si>
    <t>p90</t>
  </si>
  <si>
    <t>p95</t>
  </si>
  <si>
    <t>p99</t>
  </si>
  <si>
    <t>สูงสุด</t>
  </si>
  <si>
    <t>smoke</t>
  </si>
  <si>
    <t>public:house-designs</t>
  </si>
  <si>
    <t>รายการแบบบ้าน</t>
  </si>
  <si>
    <t>public:house-designs-featured</t>
  </si>
  <si>
    <t>แบบบ้านแนะนำ (หน้าแรก)</t>
  </si>
  <si>
    <t>public:portfolio</t>
  </si>
  <si>
    <t>รายการผลงาน</t>
  </si>
  <si>
    <t>public:settings</t>
  </si>
  <si>
    <t>ค่าตั้งเว็บ (ชื่อบริษัท รูปหน้าเว็บ)</t>
  </si>
  <si>
    <t>staff:customers</t>
  </si>
  <si>
    <t>แฟ้มลูกค้า</t>
  </si>
  <si>
    <t>staff:dashboard-pipeline</t>
  </si>
  <si>
    <t>แดชบอร์ด — ท่อขาย</t>
  </si>
  <si>
    <t>staff:dashboard-summary</t>
  </si>
  <si>
    <t>แดชบอร์ด — สรุป</t>
  </si>
  <si>
    <t>staff:leads</t>
  </si>
  <si>
    <t>คำขอลูกค้า</t>
  </si>
  <si>
    <t>staff:materials</t>
  </si>
  <si>
    <t>คลังวัสดุ (121 รายการ)</t>
  </si>
  <si>
    <t>staff:me</t>
  </si>
  <si>
    <t>ข้อมูลผู้ใช้ที่ล็อกอิน</t>
  </si>
  <si>
    <t>staff:notifications</t>
  </si>
  <si>
    <t>การแจ้งเตือน</t>
  </si>
  <si>
    <t>staff:project-boq</t>
  </si>
  <si>
    <t>BOQ ของโครงการ (178 รายการ)</t>
  </si>
  <si>
    <t>staff:project-detail</t>
  </si>
  <si>
    <t>รายละเอียดโครงการ</t>
  </si>
  <si>
    <t>staff:project-quotes</t>
  </si>
  <si>
    <t>ใบเสนอราคาของโครงการ</t>
  </si>
  <si>
    <t>staff:projects-list</t>
  </si>
  <si>
    <t>รายการโครงการ</t>
  </si>
  <si>
    <t>load</t>
  </si>
  <si>
    <t>stress</t>
  </si>
  <si>
    <t>spike</t>
  </si>
  <si>
    <t>pdf</t>
  </si>
  <si>
    <t>pdf:quote</t>
  </si>
  <si>
    <t>สร้าง PDF ใบเสนอราคา</t>
  </si>
  <si>
    <t>ผลตามช่วงเวลา</t>
  </si>
  <si>
    <t>แต่ละแถว = 15 วินาที · ผู้ใช้พร้อมกัน = รวมทุกกลุ่ม · ใช้ดูว่าเวลาตอบเปลี่ยนไปอย่างไรเมื่อผู้ใช้เพิ่มขึ้น</t>
  </si>
  <si>
    <t>วินาทีที่</t>
  </si>
  <si>
    <t>ผู้ใช้พร้อมกัน</t>
  </si>
  <si>
    <t>คำขอ</t>
  </si>
  <si>
    <t>p95 (ms)</t>
  </si>
  <si>
    <t>error</t>
  </si>
  <si>
    <t>ทรัพยากรเครื่องระหว่างทดสอบ</t>
  </si>
  <si>
    <t>เก็บทุก 5 วินาที · CPU ของ API คิดเป็น % ของทั้งเครื่อง (ทุกคอร์รวม = 100%) · ฐานข้อมูล = คอนเทนเนอร์ postgres (100% = 1 คอร์)</t>
  </si>
  <si>
    <t>API CPU %</t>
  </si>
  <si>
    <t>API RAM (MB)</t>
  </si>
  <si>
    <t>DB CPU %</t>
  </si>
  <si>
    <t>DB RAM (MB)</t>
  </si>
  <si>
    <t>ข้อสังเกตและข้อเสนอแนะ</t>
  </si>
  <si>
    <t>อ่านจากผลในแผ่นงานอื่น · ความรุนแรง: สูง = ควรแก้ก่อนผู้ใช้เพิ่ม · กลาง = ควรแก้ · ต่ำ = ทราบไว้</t>
  </si>
  <si>
    <t>#</t>
  </si>
  <si>
    <t>สิ่งที่พบ (ตัวเลขจากผลทดสอบ)</t>
  </si>
  <si>
    <t>สาเหตุที่น่าจะเป็น</t>
  </si>
  <si>
    <t>ข้อเสนอแนะ</t>
  </si>
  <si>
    <t>ความรุนแรง</t>
  </si>
  <si>
    <t>การใช้งานปกติ</t>
  </si>
  <si>
    <t>Load test 40 คนพร้อมกัน 4.5 นาที: 20,374 คำขอ · 74.6 คำขอ/วินาที · error 0% · p95 53 ms · ช้าสุด 208 ms · เส้นที่ช้าสุดคือรายละเอียดโครงการ p95 74 ms</t>
  </si>
  <si>
    <t>ภาระต่ำกว่าความสามารถของเครื่องมาก (API ใช้ CPU สูงสุด 5.8% ของเครื่อง)</t>
  </si>
  <si>
    <t>ไม่ต้องแก้ — ใช้เป็นตัวเลขอ้างอิงเทียบหลังแก้โค้ดรอบถัดไป</t>
  </si>
  <si>
    <t>ต่ำ</t>
  </si>
  <si>
    <t>ขีดจำกัดของ API (1 โปรเซส)</t>
  </si>
  <si>
    <t>Stress: คำขอ/วินาทีขึ้นไปค้างที่ ~246 ตั้งแต่ 150 คนขึ้นไป เพิ่มคนอีกก็ไม่เพิ่ม · p95 ไต่จาก 41 ms (50 คน) → 319 ms (100) → 1,052 ms (250) → 1,523 ms (300) · error 0%</t>
  </si>
  <si>
    <t>Node ประมวลผล JavaScript บนเธรดเดียว — งานแปลงข้อมูลเป็น JSON ของเส้นที่ตอบก้อนใหญ่ต่อคิวกัน · CPU ของ API สูงสุด 13% ของเครื่อง (≈ 2.6 เธรด) ขณะฐานข้อมูลใช้ ≤ 24% ของคอร์เดียว</t>
  </si>
  <si>
    <t>ถ้าวันหนึ่งผู้ใช้พร้อมกันเกินร้อยคน: รัน API 2 ตัวหลัง nginx (โค้ดรองรับหลายตัวอยู่แล้ว — rate limit ใน DB + งานรายวันจองรอบ) · ตอนนี้ยังไม่จำเป็น</t>
  </si>
  <si>
    <t>เส้นที่ตอบข้อมูลก้อนใหญ่</t>
  </si>
  <si>
    <t>ช่วง 300 คน: BOQ ของโครงการ p95 2,052 ms · รายละเอียดโครงการ 1,774 ms (ขนาด ~51–53 KB ต่อครั้ง) ช้ากว่าเส้นเล็ก ~2 เท่า · คลังวัสดุ (69 KB) 916 ms</t>
  </si>
  <si>
    <t>ขนาดคำตอบใหญ่ + ไม่บีบอัด: ทั้ง Express และ nginx (deploy/nginx.conf) ยังไม่เปิด gzip ให้ JSON</t>
  </si>
  <si>
    <t>เปิด gzip ที่ nginx บน VPS สำหรับ application/json (วัดจริงด้วย gzip ระดับ 6: BOQ 50.9→7.9 KB · รายละเอียดโครงการ 53.1→8.5 KB · คลังวัสดุ 68.5→8.4 KB = ลด 84–87% โดยไม่แตะโค้ด) · ระยะยาว: เส้นรายละเอียดโครงการไม่ต้องส่ง BOQ ทั้งก้อนซ้ำกับเส้น /boq</t>
  </si>
  <si>
    <t>กลาง</t>
  </si>
  <si>
    <t>ผู้ใช้พุ่งกะทันหัน</t>
  </si>
  <si>
    <t>Spike 10 → 300 คนใน 10 วินาที: p95 ช่วงพีค 1,513–1,654 ms · error 0% · พอลดเหลือ 10 คน p95 กลับมา 49 ms ทันที</t>
  </si>
  <si>
    <t>คำขอเข้าคิวรอแทนที่จะถูกปฏิเสธ และไม่มีอะไรค้างหลังโหลดลด</t>
  </si>
  <si>
    <t>ไม่ต้องแก้ — ระบบฟื้นตัวเอง</t>
  </si>
  <si>
    <t>1 คน: เฉลี่ย 2,151 ms · 3 คน: 1,673 ms · 5 คน: 1,768 ms (p95 2,059 ms) · 217 ใบ error 0% · ใบแรกหลังเปิดเซิร์ฟเวอร์ 12,325 ms (วัดด้วย curl ก่อนเริ่ม k6) · Chromium ใช้ RAM ~460 MB</t>
  </si>
  <si>
    <t>ใบแรกต้องเปิด Chromium ใหม่ (ครั้งต่อไปใช้ตัวเดิม) · หลายคนพร้อมกันไม่ช้าลงเพราะ Chromium วาดได้หลายหน้าขนานกัน</t>
  </si>
  <si>
    <t>อุ่นเครื่อง Chromium ตอนเปิดเซิร์ฟเวอร์ (คนแรกของวันไม่ต้องรอ 12 วิ) · บน VPS 8 GB เหลือ RAM พอ</t>
  </si>
  <si>
    <t>หน่วยความจำ</t>
  </si>
  <si>
    <t>API 346–373 MB · ฐานข้อมูล 115–175 MB ตลอดทุกรูปแบบ ไม่เพิ่มขึ้นต่อเนื่อง</t>
  </si>
  <si>
    <t>-</t>
  </si>
  <si>
    <t>ใช้ได้กับ VPS 8 GB สบาย · ถ้าจะตอบเรื่องหน่วยความจำรั่วให้แน่ ต้องทดสอบยาวหลายชั่วโมง (soak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</si>
</sst>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000099"/>
      <name val="Tahoma"/>
    </font>
    <font>
      <i/>
      <sz val="10"/>
      <color rgb="FF6B7280"/>
      <name val="Tahoma"/>
    </font>
    <font>
      <b/>
      <sz val="11"/>
      <color rgb="FF000099"/>
      <name val="Tahoma"/>
    </font>
    <font>
      <b/>
      <sz val="10"/>
      <color rgb="FFFFFFFF"/>
      <name val="Tahoma"/>
    </font>
    <font>
      <b/>
      <sz val="10"/>
      <color rgb="FF1F2937"/>
      <name val="Tahoma"/>
    </font>
    <font>
      <sz val="10"/>
      <color rgb="FF1F2937"/>
      <name val="Tahoma"/>
    </font>
    <font>
      <sz val="10"/>
      <color rgb="FF0000FF"/>
      <name val="Tahoma"/>
    </font>
    <font>
      <i/>
      <sz val="9"/>
      <color rgb="FF6B7280"/>
      <name val="Tahoma"/>
    </font>
  </fonts>
  <fills count="4">
    <fill>
      <patternFill patternType="none"/>
    </fill>
    <fill>
      <patternFill patternType="gray125"/>
    </fill>
    <fill>
      <patternFill patternType="solid">
        <fgColor rgb="FF000099"/>
        <bgColor rgb="FF000099"/>
      </patternFill>
    </fill>
    <fill>
      <patternFill patternType="solid">
        <fgColor rgb="FFFEF9C3"/>
        <bgColor rgb="FFFEF9C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0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0" fontId="3" fillId="0" borderId="0" xfId="0" applyFont="1"/>
    <xf numFmtId="3" fontId="7" fillId="3" borderId="1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left" vertical="center" wrapText="1"/>
    </xf>
    <xf numFmtId="0" fontId="8" fillId="0" borderId="0" xfId="0" applyFont="1"/>
    <xf numFmtId="166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7">
    <dxf>
      <font>
        <b/>
        <color rgb="FF075985"/>
        <name val="Tahoma"/>
      </font>
      <fill>
        <patternFill patternType="solid">
          <fgColor rgb="FFE0F2FE"/>
          <bgColor rgb="FFE0F2FE"/>
        </patternFill>
      </fill>
    </dxf>
    <dxf>
      <font>
        <b/>
        <color rgb="FF92400E"/>
        <name val="Tahoma"/>
      </font>
      <fill>
        <patternFill patternType="solid">
          <fgColor rgb="FFFEF3C7"/>
          <bgColor rgb="FFFEF3C7"/>
        </patternFill>
      </fill>
    </dxf>
    <dxf>
      <font>
        <b/>
        <color rgb="FFB91C1C"/>
        <name val="Tahoma"/>
      </font>
      <fill>
        <patternFill patternType="solid">
          <fgColor rgb="FFFEE2E2"/>
          <bgColor rgb="FFFEE2E2"/>
        </patternFill>
      </fill>
    </dxf>
    <dxf>
      <font>
        <b/>
        <color rgb="FFB91C1C"/>
        <name val="Tahoma"/>
      </font>
      <fill>
        <patternFill patternType="solid">
          <fgColor rgb="FFFEE2E2"/>
          <bgColor rgb="FFFEE2E2"/>
        </patternFill>
      </fill>
    </dxf>
    <dxf>
      <font>
        <b/>
        <color rgb="FF166534"/>
        <name val="Tahoma"/>
      </font>
      <fill>
        <patternFill patternType="solid">
          <fgColor rgb="FFDCFCE7"/>
          <bgColor rgb="FFDCFCE7"/>
        </patternFill>
      </fill>
    </dxf>
    <dxf>
      <font>
        <b/>
        <color rgb="FFB91C1C"/>
        <name val="Tahoma"/>
      </font>
      <fill>
        <patternFill patternType="solid">
          <fgColor rgb="FFFEE2E2"/>
          <bgColor rgb="FFFEE2E2"/>
        </patternFill>
      </fill>
    </dxf>
    <dxf>
      <font>
        <b/>
        <color rgb="FF166534"/>
        <name val="Tahoma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p95 </a:t>
            </a:r>
            <a:r>
              <a:rPr lang="th-TH"/>
              <a:t>ของทุกคำขอ (</a:t>
            </a:r>
            <a:r>
              <a:rPr lang="en-US"/>
              <a:t>ms) </a:t>
            </a:r>
            <a:r>
              <a:rPr lang="th-TH"/>
              <a:t>แยกตามรูปแบบ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สรุปผล!$A$5:$A$9</c:f>
              <c:strCache>
                <c:ptCount val="5"/>
                <c:pt idx="0">
                  <c:v>Smoke test — ตรวจว่าทุกเส้นทำงาน</c:v>
                </c:pt>
                <c:pt idx="1">
                  <c:v>Load test — ใช้งานปกติต่อเนื่อง</c:v>
                </c:pt>
                <c:pt idx="2">
                  <c:v>Stress test — เพิ่มผู้ใช้จนเห็นขีดจำกัด</c:v>
                </c:pt>
                <c:pt idx="3">
                  <c:v>Spike test — ผู้ใช้พุ่งขึ้นกะทันหัน</c:v>
                </c:pt>
                <c:pt idx="4">
                  <c:v>PDF test — สร้าง PDF ใบเสนอราคาพร้อมกัน</c:v>
                </c:pt>
              </c:strCache>
            </c:strRef>
          </c:cat>
          <c:val>
            <c:numRef>
              <c:f>สรุปผล!$H$5:$H$9</c:f>
              <c:numCache>
                <c:formatCode>#,##0.0</c:formatCode>
                <c:ptCount val="5"/>
                <c:pt idx="0">
                  <c:v>58.215458000000012</c:v>
                </c:pt>
                <c:pt idx="1">
                  <c:v>52.908717800000012</c:v>
                </c:pt>
                <c:pt idx="2">
                  <c:v>906.77194600000007</c:v>
                </c:pt>
                <c:pt idx="3">
                  <c:v>1521.334773000001</c:v>
                </c:pt>
                <c:pt idx="4">
                  <c:v>2155.2895262500001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7-456A-94AF-207092D9F11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stress: p95 (ms) เทียบผู้ใช้พร้อมกัน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ผลตามช่วงเวลา!$B$24:$B$41</c:f>
              <c:numCache>
                <c:formatCode>#,##0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cat>
          <c:val>
            <c:numRef>
              <c:f>ผลตามช่วงเวลา!$F$24:$F$41</c:f>
              <c:numCache>
                <c:formatCode>#,##0.0</c:formatCode>
                <c:ptCount val="18"/>
                <c:pt idx="0">
                  <c:v>78.362765200000055</c:v>
                </c:pt>
                <c:pt idx="1">
                  <c:v>35.167897100000033</c:v>
                </c:pt>
                <c:pt idx="2">
                  <c:v>41.248356299999998</c:v>
                </c:pt>
                <c:pt idx="3">
                  <c:v>41.627425499999987</c:v>
                </c:pt>
                <c:pt idx="4">
                  <c:v>41.651970849999998</c:v>
                </c:pt>
                <c:pt idx="5">
                  <c:v>42.504189199999992</c:v>
                </c:pt>
                <c:pt idx="6">
                  <c:v>44.796591850000013</c:v>
                </c:pt>
                <c:pt idx="7">
                  <c:v>443.33904620000021</c:v>
                </c:pt>
                <c:pt idx="8">
                  <c:v>188.92309400000011</c:v>
                </c:pt>
                <c:pt idx="9">
                  <c:v>352.92539599999998</c:v>
                </c:pt>
                <c:pt idx="10">
                  <c:v>507.26671110000012</c:v>
                </c:pt>
                <c:pt idx="11">
                  <c:v>755.47236199999963</c:v>
                </c:pt>
                <c:pt idx="12">
                  <c:v>964.72348250000005</c:v>
                </c:pt>
                <c:pt idx="13">
                  <c:v>1194.2702400000001</c:v>
                </c:pt>
                <c:pt idx="14">
                  <c:v>1384.2486415000001</c:v>
                </c:pt>
                <c:pt idx="15">
                  <c:v>1652.3170520000001</c:v>
                </c:pt>
                <c:pt idx="16">
                  <c:v>1453.3062570000011</c:v>
                </c:pt>
                <c:pt idx="17">
                  <c:v>397.31107474999999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3-48E0-9145-44A35427E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ผู้ใช้พร้อมกัน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ผลตามช่วงเวลา!$C$24:$C$41</c:f>
              <c:numCache>
                <c:formatCode>#,##0</c:formatCode>
                <c:ptCount val="18"/>
                <c:pt idx="0">
                  <c:v>12</c:v>
                </c:pt>
                <c:pt idx="1">
                  <c:v>26</c:v>
                </c:pt>
                <c:pt idx="2">
                  <c:v>38</c:v>
                </c:pt>
                <c:pt idx="3">
                  <c:v>50</c:v>
                </c:pt>
                <c:pt idx="4">
                  <c:v>62</c:v>
                </c:pt>
                <c:pt idx="5">
                  <c:v>76</c:v>
                </c:pt>
                <c:pt idx="6">
                  <c:v>88</c:v>
                </c:pt>
                <c:pt idx="7">
                  <c:v>102</c:v>
                </c:pt>
                <c:pt idx="8">
                  <c:v>126</c:v>
                </c:pt>
                <c:pt idx="9">
                  <c:v>152</c:v>
                </c:pt>
                <c:pt idx="10">
                  <c:v>176</c:v>
                </c:pt>
                <c:pt idx="11">
                  <c:v>202</c:v>
                </c:pt>
                <c:pt idx="12">
                  <c:v>226</c:v>
                </c:pt>
                <c:pt idx="13">
                  <c:v>252</c:v>
                </c:pt>
                <c:pt idx="14">
                  <c:v>276</c:v>
                </c:pt>
                <c:pt idx="15">
                  <c:v>300</c:v>
                </c:pt>
                <c:pt idx="16">
                  <c:v>296</c:v>
                </c:pt>
                <c:pt idx="17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33-48E0-9145-44A35427E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p95 (ms)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ผู้ใช้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spike: p95 (ms) เทียบผู้ใช้พร้อมกัน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ผลตามช่วงเวลา!$B$43:$B$51</c:f>
              <c:numCache>
                <c:formatCode>#,##0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</c:numCache>
            </c:numRef>
          </c:cat>
          <c:val>
            <c:numRef>
              <c:f>ผลตามช่วงเวลา!$F$43:$F$51</c:f>
              <c:numCache>
                <c:formatCode>#,##0.0</c:formatCode>
                <c:ptCount val="9"/>
                <c:pt idx="0">
                  <c:v>46.552998399999993</c:v>
                </c:pt>
                <c:pt idx="1">
                  <c:v>299.02926569999988</c:v>
                </c:pt>
                <c:pt idx="2">
                  <c:v>1583.4573585000001</c:v>
                </c:pt>
                <c:pt idx="3">
                  <c:v>1680.3232905</c:v>
                </c:pt>
                <c:pt idx="4">
                  <c:v>1688.9797385500001</c:v>
                </c:pt>
                <c:pt idx="5">
                  <c:v>1075.8053935</c:v>
                </c:pt>
                <c:pt idx="6">
                  <c:v>49.622553000000003</c:v>
                </c:pt>
                <c:pt idx="7">
                  <c:v>49.850065150000013</c:v>
                </c:pt>
                <c:pt idx="8">
                  <c:v>49.819790349999998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3-4855-A9B3-F31624E0B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ผู้ใช้พร้อมกัน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ผลตามช่วงเวลา!$C$43:$C$51</c:f>
              <c:numCache>
                <c:formatCode>#,##0</c:formatCode>
                <c:ptCount val="9"/>
                <c:pt idx="0">
                  <c:v>6</c:v>
                </c:pt>
                <c:pt idx="1">
                  <c:v>148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D3-4855-A9B3-F31624E0B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p95 (ms)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ผู้ใช้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load: p95 (ms) เทียบผู้ใช้พร้อมกัน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ผลตามช่วงเวลา!$B$5:$B$22</c:f>
              <c:numCache>
                <c:formatCode>#,##0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</c:numCache>
            </c:numRef>
          </c:cat>
          <c:val>
            <c:numRef>
              <c:f>ผลตามช่วงเวลา!$F$5:$F$22</c:f>
              <c:numCache>
                <c:formatCode>#,##0.0</c:formatCode>
                <c:ptCount val="18"/>
                <c:pt idx="0">
                  <c:v>57.820607600000002</c:v>
                </c:pt>
                <c:pt idx="1">
                  <c:v>55.122363399999998</c:v>
                </c:pt>
                <c:pt idx="2">
                  <c:v>49.962462000000002</c:v>
                </c:pt>
                <c:pt idx="3">
                  <c:v>51.919729400000001</c:v>
                </c:pt>
                <c:pt idx="4">
                  <c:v>52.861275599999978</c:v>
                </c:pt>
                <c:pt idx="5">
                  <c:v>53.605467699999991</c:v>
                </c:pt>
                <c:pt idx="6">
                  <c:v>57.904181300000012</c:v>
                </c:pt>
                <c:pt idx="7">
                  <c:v>53.186146200000003</c:v>
                </c:pt>
                <c:pt idx="8">
                  <c:v>51.4577046</c:v>
                </c:pt>
                <c:pt idx="9">
                  <c:v>51.366566450000008</c:v>
                </c:pt>
                <c:pt idx="10">
                  <c:v>52.654489949999999</c:v>
                </c:pt>
                <c:pt idx="11">
                  <c:v>53.007396200000009</c:v>
                </c:pt>
                <c:pt idx="12">
                  <c:v>54.2387625</c:v>
                </c:pt>
                <c:pt idx="13">
                  <c:v>51.994705699999997</c:v>
                </c:pt>
                <c:pt idx="14">
                  <c:v>55.235673199999987</c:v>
                </c:pt>
                <c:pt idx="15">
                  <c:v>54.458883850000007</c:v>
                </c:pt>
                <c:pt idx="16">
                  <c:v>45.830017499999997</c:v>
                </c:pt>
                <c:pt idx="17">
                  <c:v>46.847273600000001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8-4DD0-9F87-D6B2DD39F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ผู้ใช้พร้อมกัน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ผลตามช่วงเวลา!$C$5:$C$22</c:f>
              <c:numCache>
                <c:formatCode>#,##0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39</c:v>
                </c:pt>
                <c:pt idx="1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8-4DD0-9F87-D6B2DD39F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p95 (ms)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ผู้ใช้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stress: CPU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API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ทรัพยากรเครื่อง!$B$55:$B$98</c:f>
              <c:numCache>
                <c:formatCode>#,##0</c:formatCode>
                <c:ptCount val="44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50</c:v>
                </c:pt>
                <c:pt idx="9">
                  <c:v>56</c:v>
                </c:pt>
                <c:pt idx="10">
                  <c:v>63</c:v>
                </c:pt>
                <c:pt idx="11">
                  <c:v>69</c:v>
                </c:pt>
                <c:pt idx="12">
                  <c:v>75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113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151</c:v>
                </c:pt>
                <c:pt idx="25">
                  <c:v>157</c:v>
                </c:pt>
                <c:pt idx="26">
                  <c:v>164</c:v>
                </c:pt>
                <c:pt idx="27">
                  <c:v>170</c:v>
                </c:pt>
                <c:pt idx="28">
                  <c:v>177</c:v>
                </c:pt>
                <c:pt idx="29">
                  <c:v>183</c:v>
                </c:pt>
                <c:pt idx="30">
                  <c:v>189</c:v>
                </c:pt>
                <c:pt idx="31">
                  <c:v>196</c:v>
                </c:pt>
                <c:pt idx="32">
                  <c:v>202</c:v>
                </c:pt>
                <c:pt idx="33">
                  <c:v>208</c:v>
                </c:pt>
                <c:pt idx="34">
                  <c:v>214</c:v>
                </c:pt>
                <c:pt idx="35">
                  <c:v>221</c:v>
                </c:pt>
                <c:pt idx="36">
                  <c:v>228</c:v>
                </c:pt>
                <c:pt idx="37">
                  <c:v>234</c:v>
                </c:pt>
                <c:pt idx="38">
                  <c:v>240</c:v>
                </c:pt>
                <c:pt idx="39">
                  <c:v>247</c:v>
                </c:pt>
                <c:pt idx="40">
                  <c:v>253</c:v>
                </c:pt>
                <c:pt idx="41">
                  <c:v>259</c:v>
                </c:pt>
                <c:pt idx="42">
                  <c:v>266</c:v>
                </c:pt>
                <c:pt idx="43">
                  <c:v>272</c:v>
                </c:pt>
              </c:numCache>
            </c:numRef>
          </c:cat>
          <c:val>
            <c:numRef>
              <c:f>ทรัพยากรเครื่อง!$C$55:$C$98</c:f>
              <c:numCache>
                <c:formatCode>0.0</c:formatCode>
                <c:ptCount val="44"/>
                <c:pt idx="0">
                  <c:v>0.5</c:v>
                </c:pt>
                <c:pt idx="1">
                  <c:v>1.6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3.3</c:v>
                </c:pt>
                <c:pt idx="5">
                  <c:v>3.9</c:v>
                </c:pt>
                <c:pt idx="6">
                  <c:v>4.8</c:v>
                </c:pt>
                <c:pt idx="7">
                  <c:v>4.5</c:v>
                </c:pt>
                <c:pt idx="8">
                  <c:v>4.7</c:v>
                </c:pt>
                <c:pt idx="9">
                  <c:v>5.2</c:v>
                </c:pt>
                <c:pt idx="10">
                  <c:v>6.4</c:v>
                </c:pt>
                <c:pt idx="11">
                  <c:v>7.1</c:v>
                </c:pt>
                <c:pt idx="12">
                  <c:v>7</c:v>
                </c:pt>
                <c:pt idx="13">
                  <c:v>7.4</c:v>
                </c:pt>
                <c:pt idx="14">
                  <c:v>8</c:v>
                </c:pt>
                <c:pt idx="15">
                  <c:v>6.5</c:v>
                </c:pt>
                <c:pt idx="16">
                  <c:v>8.3000000000000007</c:v>
                </c:pt>
                <c:pt idx="17">
                  <c:v>7.1</c:v>
                </c:pt>
                <c:pt idx="18">
                  <c:v>8.1999999999999993</c:v>
                </c:pt>
                <c:pt idx="19">
                  <c:v>9.6999999999999993</c:v>
                </c:pt>
                <c:pt idx="20">
                  <c:v>6</c:v>
                </c:pt>
                <c:pt idx="21">
                  <c:v>11.7</c:v>
                </c:pt>
                <c:pt idx="22">
                  <c:v>12.4</c:v>
                </c:pt>
                <c:pt idx="23">
                  <c:v>12.7</c:v>
                </c:pt>
                <c:pt idx="24">
                  <c:v>12.4</c:v>
                </c:pt>
                <c:pt idx="25">
                  <c:v>13</c:v>
                </c:pt>
                <c:pt idx="26">
                  <c:v>12</c:v>
                </c:pt>
                <c:pt idx="27">
                  <c:v>12.5</c:v>
                </c:pt>
                <c:pt idx="28">
                  <c:v>12.1</c:v>
                </c:pt>
                <c:pt idx="29">
                  <c:v>12.5</c:v>
                </c:pt>
                <c:pt idx="30">
                  <c:v>13</c:v>
                </c:pt>
                <c:pt idx="31">
                  <c:v>12.5</c:v>
                </c:pt>
                <c:pt idx="32">
                  <c:v>12.4</c:v>
                </c:pt>
                <c:pt idx="33">
                  <c:v>12.6</c:v>
                </c:pt>
                <c:pt idx="34">
                  <c:v>11.5</c:v>
                </c:pt>
                <c:pt idx="35">
                  <c:v>12.4</c:v>
                </c:pt>
                <c:pt idx="36">
                  <c:v>12.4</c:v>
                </c:pt>
                <c:pt idx="37">
                  <c:v>12.6</c:v>
                </c:pt>
                <c:pt idx="38">
                  <c:v>12.4</c:v>
                </c:pt>
                <c:pt idx="39">
                  <c:v>12.3</c:v>
                </c:pt>
                <c:pt idx="40">
                  <c:v>12.3</c:v>
                </c:pt>
                <c:pt idx="41">
                  <c:v>10.4</c:v>
                </c:pt>
                <c:pt idx="42">
                  <c:v>2.7</c:v>
                </c:pt>
                <c:pt idx="4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6-45CC-886E-CF0674974F1D}"/>
            </c:ext>
          </c:extLst>
        </c:ser>
        <c:ser>
          <c:idx val="1"/>
          <c:order val="1"/>
          <c:tx>
            <c:v>ฐานข้อมูล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ทรัพยากรเครื่อง!$B$55:$B$98</c:f>
              <c:numCache>
                <c:formatCode>#,##0</c:formatCode>
                <c:ptCount val="44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50</c:v>
                </c:pt>
                <c:pt idx="9">
                  <c:v>56</c:v>
                </c:pt>
                <c:pt idx="10">
                  <c:v>63</c:v>
                </c:pt>
                <c:pt idx="11">
                  <c:v>69</c:v>
                </c:pt>
                <c:pt idx="12">
                  <c:v>75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106</c:v>
                </c:pt>
                <c:pt idx="18">
                  <c:v>113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151</c:v>
                </c:pt>
                <c:pt idx="25">
                  <c:v>157</c:v>
                </c:pt>
                <c:pt idx="26">
                  <c:v>164</c:v>
                </c:pt>
                <c:pt idx="27">
                  <c:v>170</c:v>
                </c:pt>
                <c:pt idx="28">
                  <c:v>177</c:v>
                </c:pt>
                <c:pt idx="29">
                  <c:v>183</c:v>
                </c:pt>
                <c:pt idx="30">
                  <c:v>189</c:v>
                </c:pt>
                <c:pt idx="31">
                  <c:v>196</c:v>
                </c:pt>
                <c:pt idx="32">
                  <c:v>202</c:v>
                </c:pt>
                <c:pt idx="33">
                  <c:v>208</c:v>
                </c:pt>
                <c:pt idx="34">
                  <c:v>214</c:v>
                </c:pt>
                <c:pt idx="35">
                  <c:v>221</c:v>
                </c:pt>
                <c:pt idx="36">
                  <c:v>228</c:v>
                </c:pt>
                <c:pt idx="37">
                  <c:v>234</c:v>
                </c:pt>
                <c:pt idx="38">
                  <c:v>240</c:v>
                </c:pt>
                <c:pt idx="39">
                  <c:v>247</c:v>
                </c:pt>
                <c:pt idx="40">
                  <c:v>253</c:v>
                </c:pt>
                <c:pt idx="41">
                  <c:v>259</c:v>
                </c:pt>
                <c:pt idx="42">
                  <c:v>266</c:v>
                </c:pt>
                <c:pt idx="43">
                  <c:v>272</c:v>
                </c:pt>
              </c:numCache>
            </c:numRef>
          </c:cat>
          <c:val>
            <c:numRef>
              <c:f>ทรัพยากรเครื่อง!$E$55:$E$98</c:f>
              <c:numCache>
                <c:formatCode>0.0</c:formatCode>
                <c:ptCount val="44"/>
                <c:pt idx="0">
                  <c:v>1.19</c:v>
                </c:pt>
                <c:pt idx="1">
                  <c:v>1.26</c:v>
                </c:pt>
                <c:pt idx="2">
                  <c:v>2.11</c:v>
                </c:pt>
                <c:pt idx="3">
                  <c:v>6.33</c:v>
                </c:pt>
                <c:pt idx="4">
                  <c:v>8.39</c:v>
                </c:pt>
                <c:pt idx="5">
                  <c:v>5.88</c:v>
                </c:pt>
                <c:pt idx="6">
                  <c:v>5.57</c:v>
                </c:pt>
                <c:pt idx="7">
                  <c:v>7.76</c:v>
                </c:pt>
                <c:pt idx="8">
                  <c:v>6.45</c:v>
                </c:pt>
                <c:pt idx="9">
                  <c:v>7.55</c:v>
                </c:pt>
                <c:pt idx="10">
                  <c:v>7.54</c:v>
                </c:pt>
                <c:pt idx="11">
                  <c:v>10.91</c:v>
                </c:pt>
                <c:pt idx="12">
                  <c:v>9.0500000000000007</c:v>
                </c:pt>
                <c:pt idx="13">
                  <c:v>7.43</c:v>
                </c:pt>
                <c:pt idx="14">
                  <c:v>9.56</c:v>
                </c:pt>
                <c:pt idx="15">
                  <c:v>10.76</c:v>
                </c:pt>
                <c:pt idx="16">
                  <c:v>11.73</c:v>
                </c:pt>
                <c:pt idx="17">
                  <c:v>10.65</c:v>
                </c:pt>
                <c:pt idx="18">
                  <c:v>15.67</c:v>
                </c:pt>
                <c:pt idx="19">
                  <c:v>17.82</c:v>
                </c:pt>
                <c:pt idx="20">
                  <c:v>13.24</c:v>
                </c:pt>
                <c:pt idx="21">
                  <c:v>11.52</c:v>
                </c:pt>
                <c:pt idx="22">
                  <c:v>12.19</c:v>
                </c:pt>
                <c:pt idx="23">
                  <c:v>17.25</c:v>
                </c:pt>
                <c:pt idx="24">
                  <c:v>14.13</c:v>
                </c:pt>
                <c:pt idx="25">
                  <c:v>13.74</c:v>
                </c:pt>
                <c:pt idx="26">
                  <c:v>11.41</c:v>
                </c:pt>
                <c:pt idx="27">
                  <c:v>15.86</c:v>
                </c:pt>
                <c:pt idx="28">
                  <c:v>10.74</c:v>
                </c:pt>
                <c:pt idx="29">
                  <c:v>14.38</c:v>
                </c:pt>
                <c:pt idx="30">
                  <c:v>12.83</c:v>
                </c:pt>
                <c:pt idx="31">
                  <c:v>16.36</c:v>
                </c:pt>
                <c:pt idx="32">
                  <c:v>11.38</c:v>
                </c:pt>
                <c:pt idx="33">
                  <c:v>11.76</c:v>
                </c:pt>
                <c:pt idx="34">
                  <c:v>12.95</c:v>
                </c:pt>
                <c:pt idx="35">
                  <c:v>16.2</c:v>
                </c:pt>
                <c:pt idx="36">
                  <c:v>10.49</c:v>
                </c:pt>
                <c:pt idx="37">
                  <c:v>15.55</c:v>
                </c:pt>
                <c:pt idx="38">
                  <c:v>10.83</c:v>
                </c:pt>
                <c:pt idx="39">
                  <c:v>11.47</c:v>
                </c:pt>
                <c:pt idx="40">
                  <c:v>10.56</c:v>
                </c:pt>
                <c:pt idx="41">
                  <c:v>5.55</c:v>
                </c:pt>
                <c:pt idx="42">
                  <c:v>0</c:v>
                </c:pt>
                <c:pt idx="43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6-45CC-886E-CF0674974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CPU %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spike: CPU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API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ทรัพยากรเครื่อง!$B$100:$B$120</c:f>
              <c:numCache>
                <c:formatCode>#,##0</c:formatCode>
                <c:ptCount val="21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57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89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115</c:v>
                </c:pt>
                <c:pt idx="19">
                  <c:v>121</c:v>
                </c:pt>
                <c:pt idx="20">
                  <c:v>127</c:v>
                </c:pt>
              </c:numCache>
            </c:numRef>
          </c:cat>
          <c:val>
            <c:numRef>
              <c:f>ทรัพยากรเครื่อง!$C$100:$C$120</c:f>
              <c:numCache>
                <c:formatCode>0.0</c:formatCode>
                <c:ptCount val="21"/>
                <c:pt idx="0">
                  <c:v>0.2</c:v>
                </c:pt>
                <c:pt idx="1">
                  <c:v>0.6</c:v>
                </c:pt>
                <c:pt idx="2">
                  <c:v>1</c:v>
                </c:pt>
                <c:pt idx="3">
                  <c:v>1.1000000000000001</c:v>
                </c:pt>
                <c:pt idx="4">
                  <c:v>8.3000000000000007</c:v>
                </c:pt>
                <c:pt idx="5">
                  <c:v>13.1</c:v>
                </c:pt>
                <c:pt idx="6">
                  <c:v>11.7</c:v>
                </c:pt>
                <c:pt idx="7">
                  <c:v>12.2</c:v>
                </c:pt>
                <c:pt idx="8">
                  <c:v>12.8</c:v>
                </c:pt>
                <c:pt idx="9">
                  <c:v>12</c:v>
                </c:pt>
                <c:pt idx="10">
                  <c:v>12.3</c:v>
                </c:pt>
                <c:pt idx="11">
                  <c:v>12</c:v>
                </c:pt>
                <c:pt idx="12">
                  <c:v>12.4</c:v>
                </c:pt>
                <c:pt idx="13">
                  <c:v>12.4</c:v>
                </c:pt>
                <c:pt idx="14">
                  <c:v>2.2999999999999998</c:v>
                </c:pt>
                <c:pt idx="15">
                  <c:v>1.5</c:v>
                </c:pt>
                <c:pt idx="16">
                  <c:v>1.4</c:v>
                </c:pt>
                <c:pt idx="17">
                  <c:v>1.3</c:v>
                </c:pt>
                <c:pt idx="18">
                  <c:v>1</c:v>
                </c:pt>
                <c:pt idx="19">
                  <c:v>1.4</c:v>
                </c:pt>
                <c:pt idx="2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7-4872-812B-553EE314E5C0}"/>
            </c:ext>
          </c:extLst>
        </c:ser>
        <c:ser>
          <c:idx val="1"/>
          <c:order val="1"/>
          <c:tx>
            <c:v>ฐานข้อมูล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ทรัพยากรเครื่อง!$B$100:$B$120</c:f>
              <c:numCache>
                <c:formatCode>#,##0</c:formatCode>
                <c:ptCount val="21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45</c:v>
                </c:pt>
                <c:pt idx="8">
                  <c:v>51</c:v>
                </c:pt>
                <c:pt idx="9">
                  <c:v>57</c:v>
                </c:pt>
                <c:pt idx="10">
                  <c:v>64</c:v>
                </c:pt>
                <c:pt idx="11">
                  <c:v>70</c:v>
                </c:pt>
                <c:pt idx="12">
                  <c:v>76</c:v>
                </c:pt>
                <c:pt idx="13">
                  <c:v>82</c:v>
                </c:pt>
                <c:pt idx="14">
                  <c:v>89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115</c:v>
                </c:pt>
                <c:pt idx="19">
                  <c:v>121</c:v>
                </c:pt>
                <c:pt idx="20">
                  <c:v>127</c:v>
                </c:pt>
              </c:numCache>
            </c:numRef>
          </c:cat>
          <c:val>
            <c:numRef>
              <c:f>ทรัพยากรเครื่อง!$E$100:$E$120</c:f>
              <c:numCache>
                <c:formatCode>0.0</c:formatCode>
                <c:ptCount val="21"/>
                <c:pt idx="0">
                  <c:v>1.91</c:v>
                </c:pt>
                <c:pt idx="1">
                  <c:v>0.65</c:v>
                </c:pt>
                <c:pt idx="2">
                  <c:v>0.16</c:v>
                </c:pt>
                <c:pt idx="3">
                  <c:v>2.27</c:v>
                </c:pt>
                <c:pt idx="4">
                  <c:v>18.260000000000002</c:v>
                </c:pt>
                <c:pt idx="5">
                  <c:v>23.7</c:v>
                </c:pt>
                <c:pt idx="6">
                  <c:v>14.79</c:v>
                </c:pt>
                <c:pt idx="7">
                  <c:v>12.41</c:v>
                </c:pt>
                <c:pt idx="8">
                  <c:v>12.96</c:v>
                </c:pt>
                <c:pt idx="9">
                  <c:v>11.92</c:v>
                </c:pt>
                <c:pt idx="10">
                  <c:v>15.89</c:v>
                </c:pt>
                <c:pt idx="11">
                  <c:v>14.95</c:v>
                </c:pt>
                <c:pt idx="12">
                  <c:v>14.91</c:v>
                </c:pt>
                <c:pt idx="13">
                  <c:v>2.34</c:v>
                </c:pt>
                <c:pt idx="14">
                  <c:v>1.98</c:v>
                </c:pt>
                <c:pt idx="15">
                  <c:v>3.65</c:v>
                </c:pt>
                <c:pt idx="16">
                  <c:v>2.4300000000000002</c:v>
                </c:pt>
                <c:pt idx="17">
                  <c:v>1.99</c:v>
                </c:pt>
                <c:pt idx="18">
                  <c:v>2.29</c:v>
                </c:pt>
                <c:pt idx="19">
                  <c:v>3.71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7-4872-812B-553EE314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CPU %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pdf: CPU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API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ทรัพยากรเครื่อง!$B$122:$B$153</c:f>
              <c:numCache>
                <c:formatCode>#,##0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50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170</c:v>
                </c:pt>
                <c:pt idx="28">
                  <c:v>176</c:v>
                </c:pt>
                <c:pt idx="29">
                  <c:v>182</c:v>
                </c:pt>
                <c:pt idx="30">
                  <c:v>188</c:v>
                </c:pt>
                <c:pt idx="31">
                  <c:v>194</c:v>
                </c:pt>
              </c:numCache>
            </c:numRef>
          </c:cat>
          <c:val>
            <c:numRef>
              <c:f>ทรัพยากรเครื่อง!$C$122:$C$153</c:f>
              <c:numCache>
                <c:formatCode>0.0</c:formatCode>
                <c:ptCount val="32"/>
                <c:pt idx="0">
                  <c:v>0.7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0.2</c:v>
                </c:pt>
                <c:pt idx="7">
                  <c:v>0.2</c:v>
                </c:pt>
                <c:pt idx="8">
                  <c:v>0.5</c:v>
                </c:pt>
                <c:pt idx="9">
                  <c:v>0.6</c:v>
                </c:pt>
                <c:pt idx="10">
                  <c:v>1.9</c:v>
                </c:pt>
                <c:pt idx="11">
                  <c:v>2.4</c:v>
                </c:pt>
                <c:pt idx="12">
                  <c:v>2.2999999999999998</c:v>
                </c:pt>
                <c:pt idx="13">
                  <c:v>1.8</c:v>
                </c:pt>
                <c:pt idx="14">
                  <c:v>1.7</c:v>
                </c:pt>
                <c:pt idx="15">
                  <c:v>1.5</c:v>
                </c:pt>
                <c:pt idx="16">
                  <c:v>1.7</c:v>
                </c:pt>
                <c:pt idx="17">
                  <c:v>1.5</c:v>
                </c:pt>
                <c:pt idx="18">
                  <c:v>1.7</c:v>
                </c:pt>
                <c:pt idx="19">
                  <c:v>1.9</c:v>
                </c:pt>
                <c:pt idx="20">
                  <c:v>1.6</c:v>
                </c:pt>
                <c:pt idx="21">
                  <c:v>2.7</c:v>
                </c:pt>
                <c:pt idx="22">
                  <c:v>3</c:v>
                </c:pt>
                <c:pt idx="23">
                  <c:v>2.8</c:v>
                </c:pt>
                <c:pt idx="24">
                  <c:v>2.7</c:v>
                </c:pt>
                <c:pt idx="25">
                  <c:v>2.8</c:v>
                </c:pt>
                <c:pt idx="26">
                  <c:v>2.2999999999999998</c:v>
                </c:pt>
                <c:pt idx="27">
                  <c:v>2.8</c:v>
                </c:pt>
                <c:pt idx="28">
                  <c:v>2.9</c:v>
                </c:pt>
                <c:pt idx="29">
                  <c:v>2.6</c:v>
                </c:pt>
                <c:pt idx="30">
                  <c:v>2</c:v>
                </c:pt>
                <c:pt idx="3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5-4684-8296-2300312BDC55}"/>
            </c:ext>
          </c:extLst>
        </c:ser>
        <c:ser>
          <c:idx val="1"/>
          <c:order val="1"/>
          <c:tx>
            <c:v>ฐานข้อมูล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ทรัพยากรเครื่อง!$B$122:$B$153</c:f>
              <c:numCache>
                <c:formatCode>#,##0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19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50</c:v>
                </c:pt>
                <c:pt idx="9">
                  <c:v>57</c:v>
                </c:pt>
                <c:pt idx="10">
                  <c:v>63</c:v>
                </c:pt>
                <c:pt idx="11">
                  <c:v>69</c:v>
                </c:pt>
                <c:pt idx="12">
                  <c:v>76</c:v>
                </c:pt>
                <c:pt idx="13">
                  <c:v>82</c:v>
                </c:pt>
                <c:pt idx="14">
                  <c:v>88</c:v>
                </c:pt>
                <c:pt idx="15">
                  <c:v>94</c:v>
                </c:pt>
                <c:pt idx="16">
                  <c:v>100</c:v>
                </c:pt>
                <c:pt idx="17">
                  <c:v>107</c:v>
                </c:pt>
                <c:pt idx="18">
                  <c:v>113</c:v>
                </c:pt>
                <c:pt idx="19">
                  <c:v>119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151</c:v>
                </c:pt>
                <c:pt idx="25">
                  <c:v>157</c:v>
                </c:pt>
                <c:pt idx="26">
                  <c:v>163</c:v>
                </c:pt>
                <c:pt idx="27">
                  <c:v>170</c:v>
                </c:pt>
                <c:pt idx="28">
                  <c:v>176</c:v>
                </c:pt>
                <c:pt idx="29">
                  <c:v>182</c:v>
                </c:pt>
                <c:pt idx="30">
                  <c:v>188</c:v>
                </c:pt>
                <c:pt idx="31">
                  <c:v>194</c:v>
                </c:pt>
              </c:numCache>
            </c:numRef>
          </c:cat>
          <c:val>
            <c:numRef>
              <c:f>ทรัพยากรเครื่อง!$E$122:$E$153</c:f>
              <c:numCache>
                <c:formatCode>0.0</c:formatCode>
                <c:ptCount val="32"/>
                <c:pt idx="0">
                  <c:v>0.02</c:v>
                </c:pt>
                <c:pt idx="1">
                  <c:v>0</c:v>
                </c:pt>
                <c:pt idx="2">
                  <c:v>0.21</c:v>
                </c:pt>
                <c:pt idx="3">
                  <c:v>0.22</c:v>
                </c:pt>
                <c:pt idx="4">
                  <c:v>0.16</c:v>
                </c:pt>
                <c:pt idx="5">
                  <c:v>0.01</c:v>
                </c:pt>
                <c:pt idx="6">
                  <c:v>0</c:v>
                </c:pt>
                <c:pt idx="7">
                  <c:v>2.4700000000000002</c:v>
                </c:pt>
                <c:pt idx="8">
                  <c:v>0.57999999999999996</c:v>
                </c:pt>
                <c:pt idx="9">
                  <c:v>0.3</c:v>
                </c:pt>
                <c:pt idx="10">
                  <c:v>0.4</c:v>
                </c:pt>
                <c:pt idx="11">
                  <c:v>2.27</c:v>
                </c:pt>
                <c:pt idx="12">
                  <c:v>0.19</c:v>
                </c:pt>
                <c:pt idx="13">
                  <c:v>0.4</c:v>
                </c:pt>
                <c:pt idx="14">
                  <c:v>0.18</c:v>
                </c:pt>
                <c:pt idx="15">
                  <c:v>2.0699999999999998</c:v>
                </c:pt>
                <c:pt idx="16">
                  <c:v>0.43</c:v>
                </c:pt>
                <c:pt idx="17">
                  <c:v>0.25</c:v>
                </c:pt>
                <c:pt idx="18">
                  <c:v>0.02</c:v>
                </c:pt>
                <c:pt idx="19">
                  <c:v>3.1</c:v>
                </c:pt>
                <c:pt idx="20">
                  <c:v>0.61</c:v>
                </c:pt>
                <c:pt idx="21">
                  <c:v>0.17</c:v>
                </c:pt>
                <c:pt idx="22">
                  <c:v>0.53</c:v>
                </c:pt>
                <c:pt idx="23">
                  <c:v>0.19</c:v>
                </c:pt>
                <c:pt idx="24">
                  <c:v>2.89</c:v>
                </c:pt>
                <c:pt idx="25">
                  <c:v>0.33</c:v>
                </c:pt>
                <c:pt idx="26">
                  <c:v>0.01</c:v>
                </c:pt>
                <c:pt idx="27">
                  <c:v>0.69</c:v>
                </c:pt>
                <c:pt idx="28">
                  <c:v>2.6</c:v>
                </c:pt>
                <c:pt idx="29">
                  <c:v>0.6</c:v>
                </c:pt>
                <c:pt idx="30">
                  <c:v>0.38</c:v>
                </c:pt>
                <c:pt idx="31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5-4684-8296-2300312B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CPU %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93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576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35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76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35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99"/>
  </sheetPr>
  <dimension ref="A1:K19"/>
  <sheetViews>
    <sheetView showGridLines="0" tabSelected="1" workbookViewId="0"/>
  </sheetViews>
  <sheetFormatPr defaultRowHeight="14.4" x14ac:dyDescent="0.3"/>
  <cols>
    <col min="1" max="1" width="38" customWidth="1"/>
    <col min="2" max="2" width="13" customWidth="1"/>
    <col min="3" max="4" width="12" customWidth="1"/>
    <col min="5" max="6" width="10" customWidth="1"/>
    <col min="7" max="7" width="11" customWidth="1"/>
    <col min="8" max="8" width="13" customWidth="1"/>
    <col min="9" max="11" width="12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4" spans="1:11" ht="31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3">
      <c r="A5" s="4" t="s">
        <v>13</v>
      </c>
      <c r="B5" s="5">
        <v>2</v>
      </c>
      <c r="C5" s="5">
        <v>34</v>
      </c>
      <c r="D5" s="5">
        <f>SUM('ผลรายเส้น API'!D5:D19)</f>
        <v>148</v>
      </c>
      <c r="E5" s="5">
        <f>SUM('ผลรายเส้น API'!E5:E19)</f>
        <v>0</v>
      </c>
      <c r="F5" s="6">
        <f t="shared" ref="F5:F10" si="0">IF(D5=0,0,E5/D5)</f>
        <v>0</v>
      </c>
      <c r="G5" s="7">
        <f>D5/C5</f>
        <v>4.3529411764705879</v>
      </c>
      <c r="H5" s="7">
        <v>58.215458000000012</v>
      </c>
      <c r="I5" s="7">
        <v>99.697486999999995</v>
      </c>
      <c r="J5" s="5">
        <f>COUNTIF('ผลรายเส้น API'!M5:M19,"ไม่ผ่าน")</f>
        <v>0</v>
      </c>
      <c r="K5" s="8" t="str">
        <f>IF(J5=0,"ผ่าน","ไม่ผ่าน")</f>
        <v>ผ่าน</v>
      </c>
    </row>
    <row r="6" spans="1:11" x14ac:dyDescent="0.3">
      <c r="A6" s="4" t="s">
        <v>14</v>
      </c>
      <c r="B6" s="5">
        <v>40</v>
      </c>
      <c r="C6" s="5">
        <v>273</v>
      </c>
      <c r="D6" s="5">
        <f>SUM('ผลรายเส้น API'!D20:D34)</f>
        <v>20373</v>
      </c>
      <c r="E6" s="5">
        <f>SUM('ผลรายเส้น API'!E20:E34)</f>
        <v>0</v>
      </c>
      <c r="F6" s="6">
        <f t="shared" si="0"/>
        <v>0</v>
      </c>
      <c r="G6" s="7">
        <f>D6/C6</f>
        <v>74.626373626373621</v>
      </c>
      <c r="H6" s="7">
        <v>52.908717800000012</v>
      </c>
      <c r="I6" s="7">
        <v>198.09479200000001</v>
      </c>
      <c r="J6" s="5">
        <f>COUNTIF('ผลรายเส้น API'!M20:M34,"ไม่ผ่าน")</f>
        <v>0</v>
      </c>
      <c r="K6" s="8" t="str">
        <f>IF(J6=0,"ผ่าน","ไม่ผ่าน")</f>
        <v>ผ่าน</v>
      </c>
    </row>
    <row r="7" spans="1:11" x14ac:dyDescent="0.3">
      <c r="A7" s="4" t="s">
        <v>15</v>
      </c>
      <c r="B7" s="5">
        <v>300</v>
      </c>
      <c r="C7" s="5">
        <v>273</v>
      </c>
      <c r="D7" s="5">
        <f>SUM('ผลรายเส้น API'!D35:D49)</f>
        <v>48331</v>
      </c>
      <c r="E7" s="5">
        <f>SUM('ผลรายเส้น API'!E35:E49)</f>
        <v>0</v>
      </c>
      <c r="F7" s="6">
        <f t="shared" si="0"/>
        <v>0</v>
      </c>
      <c r="G7" s="7">
        <f>D7/C7</f>
        <v>177.03663003663004</v>
      </c>
      <c r="H7" s="7">
        <v>906.77194600000007</v>
      </c>
      <c r="I7" s="7">
        <v>2097.0434479999999</v>
      </c>
      <c r="J7" s="5">
        <f>COUNTIF('ผลรายเส้น API'!M35:M49,"ไม่ผ่าน")</f>
        <v>6</v>
      </c>
      <c r="K7" s="8" t="str">
        <f>IF(J7=0,"ผ่าน","ไม่ผ่าน")</f>
        <v>ไม่ผ่าน</v>
      </c>
    </row>
    <row r="8" spans="1:11" x14ac:dyDescent="0.3">
      <c r="A8" s="4" t="s">
        <v>16</v>
      </c>
      <c r="B8" s="5">
        <v>300</v>
      </c>
      <c r="C8" s="5">
        <v>134</v>
      </c>
      <c r="D8" s="5">
        <f>SUM('ผลรายเส้น API'!D50:D64)</f>
        <v>16027</v>
      </c>
      <c r="E8" s="5">
        <f>SUM('ผลรายเส้น API'!E50:E64)</f>
        <v>0</v>
      </c>
      <c r="F8" s="6">
        <f t="shared" si="0"/>
        <v>0</v>
      </c>
      <c r="G8" s="7">
        <f>D8/C8</f>
        <v>119.6044776119403</v>
      </c>
      <c r="H8" s="7">
        <v>1521.334773000001</v>
      </c>
      <c r="I8" s="7">
        <v>2140.9381859999999</v>
      </c>
      <c r="J8" s="5">
        <f>COUNTIF('ผลรายเส้น API'!M50:M64,"ไม่ผ่าน")</f>
        <v>10</v>
      </c>
      <c r="K8" s="8" t="str">
        <f>IF(J8=0,"ผ่าน","ไม่ผ่าน")</f>
        <v>ไม่ผ่าน</v>
      </c>
    </row>
    <row r="9" spans="1:11" x14ac:dyDescent="0.3">
      <c r="A9" s="4" t="s">
        <v>17</v>
      </c>
      <c r="B9" s="5">
        <v>5</v>
      </c>
      <c r="C9" s="5">
        <v>203</v>
      </c>
      <c r="D9" s="5">
        <f>SUM('ผลรายเส้น API'!D65:D65)</f>
        <v>216</v>
      </c>
      <c r="E9" s="5">
        <f>SUM('ผลรายเส้น API'!E65:E65)</f>
        <v>0</v>
      </c>
      <c r="F9" s="6">
        <f t="shared" si="0"/>
        <v>0</v>
      </c>
      <c r="G9" s="7">
        <f>D9/C9</f>
        <v>1.0640394088669951</v>
      </c>
      <c r="H9" s="7">
        <v>2155.2895262500001</v>
      </c>
      <c r="I9" s="7">
        <v>2812.7261659999999</v>
      </c>
      <c r="J9" s="5">
        <f>COUNTIF('ผลรายเส้น API'!M65:M65,"ไม่ผ่าน")</f>
        <v>0</v>
      </c>
      <c r="K9" s="8" t="str">
        <f>IF(J9=0,"ผ่าน","ไม่ผ่าน")</f>
        <v>ผ่าน</v>
      </c>
    </row>
    <row r="10" spans="1:11" x14ac:dyDescent="0.3">
      <c r="A10" s="9" t="s">
        <v>18</v>
      </c>
      <c r="D10" s="10">
        <f>SUM(D5:D9)</f>
        <v>85095</v>
      </c>
      <c r="E10" s="10">
        <f>SUM(E5:E9)</f>
        <v>0</v>
      </c>
      <c r="F10" s="11">
        <f t="shared" si="0"/>
        <v>0</v>
      </c>
    </row>
    <row r="12" spans="1:11" x14ac:dyDescent="0.3">
      <c r="A12" s="12" t="s">
        <v>19</v>
      </c>
    </row>
    <row r="13" spans="1:11" ht="31.95" customHeight="1" x14ac:dyDescent="0.3">
      <c r="A13" s="18" t="s">
        <v>20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31.95" customHeight="1" x14ac:dyDescent="0.3">
      <c r="A14" s="18" t="s">
        <v>21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 ht="31.95" customHeight="1" x14ac:dyDescent="0.3">
      <c r="A15" s="18" t="s">
        <v>22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ht="31.95" customHeight="1" x14ac:dyDescent="0.3">
      <c r="A16" s="18" t="s">
        <v>23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ht="31.95" customHeight="1" x14ac:dyDescent="0.3">
      <c r="A17" s="18" t="s">
        <v>24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31.95" customHeight="1" x14ac:dyDescent="0.3">
      <c r="A18" s="18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31.95" customHeight="1" x14ac:dyDescent="0.3">
      <c r="A19" s="18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</sheetData>
  <mergeCells count="7">
    <mergeCell ref="A18:K18"/>
    <mergeCell ref="A15:K15"/>
    <mergeCell ref="A16:K16"/>
    <mergeCell ref="A19:K19"/>
    <mergeCell ref="A13:K13"/>
    <mergeCell ref="A14:K14"/>
    <mergeCell ref="A17:K17"/>
  </mergeCells>
  <conditionalFormatting sqref="K5:K9">
    <cfRule type="cellIs" dxfId="6" priority="1" operator="equal">
      <formula>"ผ่าน"</formula>
    </cfRule>
    <cfRule type="cellIs" dxfId="5" priority="2" operator="equal">
      <formula>"ไม่ผ่าน"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4151"/>
  </sheetPr>
  <dimension ref="A1:B42"/>
  <sheetViews>
    <sheetView showGridLines="0" workbookViewId="0"/>
  </sheetViews>
  <sheetFormatPr defaultRowHeight="14.4" x14ac:dyDescent="0.3"/>
  <cols>
    <col min="1" max="1" width="30" customWidth="1"/>
    <col min="2" max="2" width="100" customWidth="1"/>
  </cols>
  <sheetData>
    <row r="1" spans="1:2" ht="17.399999999999999" x14ac:dyDescent="0.3">
      <c r="A1" s="1" t="s">
        <v>27</v>
      </c>
    </row>
    <row r="2" spans="1:2" x14ac:dyDescent="0.3">
      <c r="A2" s="2" t="s">
        <v>28</v>
      </c>
    </row>
    <row r="4" spans="1:2" x14ac:dyDescent="0.3">
      <c r="A4" s="12" t="s">
        <v>29</v>
      </c>
    </row>
    <row r="5" spans="1:2" ht="31.95" customHeight="1" x14ac:dyDescent="0.3">
      <c r="A5" s="3" t="s">
        <v>30</v>
      </c>
      <c r="B5" s="3" t="s">
        <v>31</v>
      </c>
    </row>
    <row r="6" spans="1:2" x14ac:dyDescent="0.3">
      <c r="A6" s="9" t="s">
        <v>32</v>
      </c>
      <c r="B6" s="4" t="s">
        <v>33</v>
      </c>
    </row>
    <row r="7" spans="1:2" x14ac:dyDescent="0.3">
      <c r="A7" s="9" t="s">
        <v>34</v>
      </c>
      <c r="B7" s="4" t="s">
        <v>35</v>
      </c>
    </row>
    <row r="8" spans="1:2" x14ac:dyDescent="0.3">
      <c r="A8" s="9" t="s">
        <v>36</v>
      </c>
      <c r="B8" s="4" t="s">
        <v>37</v>
      </c>
    </row>
    <row r="9" spans="1:2" x14ac:dyDescent="0.3">
      <c r="A9" s="9" t="s">
        <v>38</v>
      </c>
      <c r="B9" s="4" t="s">
        <v>39</v>
      </c>
    </row>
    <row r="10" spans="1:2" x14ac:dyDescent="0.3">
      <c r="A10" s="9" t="s">
        <v>40</v>
      </c>
      <c r="B10" s="4" t="s">
        <v>41</v>
      </c>
    </row>
    <row r="11" spans="1:2" x14ac:dyDescent="0.3">
      <c r="A11" s="9" t="s">
        <v>42</v>
      </c>
      <c r="B11" s="4" t="s">
        <v>43</v>
      </c>
    </row>
    <row r="12" spans="1:2" x14ac:dyDescent="0.3">
      <c r="A12" s="9" t="s">
        <v>44</v>
      </c>
      <c r="B12" s="4" t="s">
        <v>45</v>
      </c>
    </row>
    <row r="13" spans="1:2" x14ac:dyDescent="0.3">
      <c r="A13" s="9" t="s">
        <v>46</v>
      </c>
      <c r="B13" s="4" t="s">
        <v>47</v>
      </c>
    </row>
    <row r="15" spans="1:2" x14ac:dyDescent="0.3">
      <c r="A15" s="12" t="s">
        <v>48</v>
      </c>
    </row>
    <row r="16" spans="1:2" ht="31.95" customHeight="1" x14ac:dyDescent="0.3">
      <c r="A16" s="3" t="s">
        <v>49</v>
      </c>
      <c r="B16" s="3" t="s">
        <v>50</v>
      </c>
    </row>
    <row r="17" spans="1:2" ht="26.4" x14ac:dyDescent="0.3">
      <c r="A17" s="4" t="s">
        <v>51</v>
      </c>
      <c r="B17" s="13">
        <v>800</v>
      </c>
    </row>
    <row r="18" spans="1:2" ht="26.4" x14ac:dyDescent="0.3">
      <c r="A18" s="4" t="s">
        <v>52</v>
      </c>
      <c r="B18" s="13">
        <v>15000</v>
      </c>
    </row>
    <row r="19" spans="1:2" x14ac:dyDescent="0.3">
      <c r="A19" s="4" t="s">
        <v>53</v>
      </c>
      <c r="B19" s="14">
        <v>0.01</v>
      </c>
    </row>
    <row r="20" spans="1:2" x14ac:dyDescent="0.3">
      <c r="A20" s="15" t="s">
        <v>54</v>
      </c>
    </row>
    <row r="22" spans="1:2" x14ac:dyDescent="0.3">
      <c r="A22" s="12" t="s">
        <v>55</v>
      </c>
    </row>
    <row r="23" spans="1:2" ht="31.95" customHeight="1" x14ac:dyDescent="0.3">
      <c r="A23" s="3" t="s">
        <v>2</v>
      </c>
      <c r="B23" s="3" t="s">
        <v>56</v>
      </c>
    </row>
    <row r="24" spans="1:2" ht="26.4" x14ac:dyDescent="0.3">
      <c r="A24" s="9" t="s">
        <v>13</v>
      </c>
      <c r="B24" s="4" t="s">
        <v>57</v>
      </c>
    </row>
    <row r="25" spans="1:2" x14ac:dyDescent="0.3">
      <c r="A25" s="9" t="s">
        <v>14</v>
      </c>
      <c r="B25" s="4" t="s">
        <v>58</v>
      </c>
    </row>
    <row r="26" spans="1:2" ht="26.4" x14ac:dyDescent="0.3">
      <c r="A26" s="9" t="s">
        <v>15</v>
      </c>
      <c r="B26" s="4" t="s">
        <v>59</v>
      </c>
    </row>
    <row r="27" spans="1:2" ht="26.4" x14ac:dyDescent="0.3">
      <c r="A27" s="9" t="s">
        <v>16</v>
      </c>
      <c r="B27" s="4" t="s">
        <v>60</v>
      </c>
    </row>
    <row r="28" spans="1:2" ht="26.4" x14ac:dyDescent="0.3">
      <c r="A28" s="9" t="s">
        <v>17</v>
      </c>
      <c r="B28" s="4" t="s">
        <v>61</v>
      </c>
    </row>
    <row r="30" spans="1:2" x14ac:dyDescent="0.3">
      <c r="A30" s="12" t="s">
        <v>62</v>
      </c>
    </row>
    <row r="31" spans="1:2" ht="31.95" customHeight="1" x14ac:dyDescent="0.3">
      <c r="A31" s="3" t="s">
        <v>63</v>
      </c>
      <c r="B31" s="3" t="s">
        <v>64</v>
      </c>
    </row>
    <row r="32" spans="1:2" x14ac:dyDescent="0.3">
      <c r="A32" s="9" t="s">
        <v>65</v>
      </c>
      <c r="B32" s="4" t="s">
        <v>66</v>
      </c>
    </row>
    <row r="33" spans="1:2" ht="26.4" x14ac:dyDescent="0.3">
      <c r="A33" s="9" t="s">
        <v>67</v>
      </c>
      <c r="B33" s="4" t="s">
        <v>68</v>
      </c>
    </row>
    <row r="34" spans="1:2" x14ac:dyDescent="0.3">
      <c r="A34" s="9" t="s">
        <v>69</v>
      </c>
      <c r="B34" s="4" t="s">
        <v>70</v>
      </c>
    </row>
    <row r="36" spans="1:2" x14ac:dyDescent="0.3">
      <c r="A36" s="12" t="s">
        <v>71</v>
      </c>
    </row>
    <row r="37" spans="1:2" ht="30" customHeight="1" x14ac:dyDescent="0.3">
      <c r="A37" s="18" t="s">
        <v>72</v>
      </c>
      <c r="B37" s="19"/>
    </row>
    <row r="38" spans="1:2" ht="30" customHeight="1" x14ac:dyDescent="0.3">
      <c r="A38" s="18" t="s">
        <v>73</v>
      </c>
      <c r="B38" s="19"/>
    </row>
    <row r="39" spans="1:2" ht="30" customHeight="1" x14ac:dyDescent="0.3">
      <c r="A39" s="18" t="s">
        <v>74</v>
      </c>
      <c r="B39" s="19"/>
    </row>
    <row r="40" spans="1:2" ht="30" customHeight="1" x14ac:dyDescent="0.3">
      <c r="A40" s="18" t="s">
        <v>75</v>
      </c>
      <c r="B40" s="19"/>
    </row>
    <row r="41" spans="1:2" ht="30" customHeight="1" x14ac:dyDescent="0.3">
      <c r="A41" s="18" t="s">
        <v>76</v>
      </c>
      <c r="B41" s="19"/>
    </row>
    <row r="42" spans="1:2" ht="30" customHeight="1" x14ac:dyDescent="0.3">
      <c r="A42" s="18" t="s">
        <v>77</v>
      </c>
      <c r="B42" s="19"/>
    </row>
  </sheetData>
  <mergeCells count="6">
    <mergeCell ref="A38:B38"/>
    <mergeCell ref="A41:B41"/>
    <mergeCell ref="A42:B42"/>
    <mergeCell ref="A37:B37"/>
    <mergeCell ref="A40:B40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5F46"/>
  </sheetPr>
  <dimension ref="A1:M6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30" customWidth="1"/>
    <col min="3" max="3" width="32" customWidth="1"/>
    <col min="4" max="4" width="11" customWidth="1"/>
    <col min="5" max="6" width="10" customWidth="1"/>
    <col min="7" max="11" width="9" customWidth="1"/>
    <col min="12" max="13" width="10" customWidth="1"/>
  </cols>
  <sheetData>
    <row r="1" spans="1:13" ht="17.399999999999999" x14ac:dyDescent="0.3">
      <c r="A1" s="1" t="s">
        <v>78</v>
      </c>
    </row>
    <row r="2" spans="1:13" x14ac:dyDescent="0.3">
      <c r="A2" s="2" t="s">
        <v>79</v>
      </c>
    </row>
    <row r="4" spans="1:13" ht="31.95" customHeight="1" x14ac:dyDescent="0.3">
      <c r="A4" s="3" t="s">
        <v>2</v>
      </c>
      <c r="B4" s="3" t="s">
        <v>80</v>
      </c>
      <c r="C4" s="3" t="s">
        <v>81</v>
      </c>
      <c r="D4" s="3" t="s">
        <v>5</v>
      </c>
      <c r="E4" s="3" t="s">
        <v>6</v>
      </c>
      <c r="F4" s="3" t="s">
        <v>7</v>
      </c>
      <c r="G4" s="3" t="s">
        <v>82</v>
      </c>
      <c r="H4" s="3" t="s">
        <v>83</v>
      </c>
      <c r="I4" s="3" t="s">
        <v>84</v>
      </c>
      <c r="J4" s="3" t="s">
        <v>85</v>
      </c>
      <c r="K4" s="3" t="s">
        <v>86</v>
      </c>
      <c r="L4" s="3" t="s">
        <v>87</v>
      </c>
      <c r="M4" s="3" t="s">
        <v>12</v>
      </c>
    </row>
    <row r="5" spans="1:13" x14ac:dyDescent="0.3">
      <c r="A5" s="4" t="s">
        <v>88</v>
      </c>
      <c r="B5" s="4" t="s">
        <v>89</v>
      </c>
      <c r="C5" s="4" t="s">
        <v>90</v>
      </c>
      <c r="D5" s="5">
        <v>15</v>
      </c>
      <c r="E5" s="5">
        <v>0</v>
      </c>
      <c r="F5" s="6">
        <f t="shared" ref="F5:F36" si="0">IF(D5=0,0,E5/D5)</f>
        <v>0</v>
      </c>
      <c r="G5" s="7">
        <v>8.7754029333333339</v>
      </c>
      <c r="H5" s="7">
        <v>6.5622040000000004</v>
      </c>
      <c r="I5" s="7">
        <v>19.262316800000001</v>
      </c>
      <c r="J5" s="7">
        <v>22.307590600000001</v>
      </c>
      <c r="K5" s="7">
        <v>22.478817320000001</v>
      </c>
      <c r="L5" s="7">
        <v>22.521623999999999</v>
      </c>
      <c r="M5" s="8" t="str">
        <f>IF(AND(J5&lt;=วิธีทดสอบและเกณฑ์!$B$17,F5&lt;=วิธีทดสอบและเกณฑ์!$B$19),"ผ่าน","ไม่ผ่าน")</f>
        <v>ผ่าน</v>
      </c>
    </row>
    <row r="6" spans="1:13" x14ac:dyDescent="0.3">
      <c r="A6" s="4" t="s">
        <v>88</v>
      </c>
      <c r="B6" s="4" t="s">
        <v>91</v>
      </c>
      <c r="C6" s="4" t="s">
        <v>92</v>
      </c>
      <c r="D6" s="5">
        <v>15</v>
      </c>
      <c r="E6" s="5">
        <v>0</v>
      </c>
      <c r="F6" s="6">
        <f t="shared" si="0"/>
        <v>0</v>
      </c>
      <c r="G6" s="7">
        <v>8.5152537333333331</v>
      </c>
      <c r="H6" s="7">
        <v>7.5582799999999999</v>
      </c>
      <c r="I6" s="7">
        <v>11.471515399999999</v>
      </c>
      <c r="J6" s="7">
        <v>11.5808559</v>
      </c>
      <c r="K6" s="7">
        <v>11.64707198</v>
      </c>
      <c r="L6" s="7">
        <v>11.663626000000001</v>
      </c>
      <c r="M6" s="8" t="str">
        <f>IF(AND(J6&lt;=วิธีทดสอบและเกณฑ์!$B$17,F6&lt;=วิธีทดสอบและเกณฑ์!$B$19),"ผ่าน","ไม่ผ่าน")</f>
        <v>ผ่าน</v>
      </c>
    </row>
    <row r="7" spans="1:13" x14ac:dyDescent="0.3">
      <c r="A7" s="4" t="s">
        <v>88</v>
      </c>
      <c r="B7" s="4" t="s">
        <v>93</v>
      </c>
      <c r="C7" s="4" t="s">
        <v>94</v>
      </c>
      <c r="D7" s="5">
        <v>15</v>
      </c>
      <c r="E7" s="5">
        <v>0</v>
      </c>
      <c r="F7" s="6">
        <f t="shared" si="0"/>
        <v>0</v>
      </c>
      <c r="G7" s="7">
        <v>6.8467152000000002</v>
      </c>
      <c r="H7" s="7">
        <v>6.4276879999999998</v>
      </c>
      <c r="I7" s="7">
        <v>10.0878706</v>
      </c>
      <c r="J7" s="7">
        <v>12.8319738</v>
      </c>
      <c r="K7" s="7">
        <v>15.864248359999999</v>
      </c>
      <c r="L7" s="7">
        <v>16.622316999999999</v>
      </c>
      <c r="M7" s="8" t="str">
        <f>IF(AND(J7&lt;=วิธีทดสอบและเกณฑ์!$B$17,F7&lt;=วิธีทดสอบและเกณฑ์!$B$19),"ผ่าน","ไม่ผ่าน")</f>
        <v>ผ่าน</v>
      </c>
    </row>
    <row r="8" spans="1:13" x14ac:dyDescent="0.3">
      <c r="A8" s="4" t="s">
        <v>88</v>
      </c>
      <c r="B8" s="4" t="s">
        <v>95</v>
      </c>
      <c r="C8" s="4" t="s">
        <v>96</v>
      </c>
      <c r="D8" s="5">
        <v>15</v>
      </c>
      <c r="E8" s="5">
        <v>0</v>
      </c>
      <c r="F8" s="6">
        <f t="shared" si="0"/>
        <v>0</v>
      </c>
      <c r="G8" s="7">
        <v>10.6413502</v>
      </c>
      <c r="H8" s="7">
        <v>10.122059999999999</v>
      </c>
      <c r="I8" s="7">
        <v>16.473717400000002</v>
      </c>
      <c r="J8" s="7">
        <v>19.078277499999999</v>
      </c>
      <c r="K8" s="7">
        <v>19.665490699999999</v>
      </c>
      <c r="L8" s="7">
        <v>19.812294000000001</v>
      </c>
      <c r="M8" s="8" t="str">
        <f>IF(AND(J8&lt;=วิธีทดสอบและเกณฑ์!$B$17,F8&lt;=วิธีทดสอบและเกณฑ์!$B$19),"ผ่าน","ไม่ผ่าน")</f>
        <v>ผ่าน</v>
      </c>
    </row>
    <row r="9" spans="1:13" x14ac:dyDescent="0.3">
      <c r="A9" s="4" t="s">
        <v>88</v>
      </c>
      <c r="B9" s="4" t="s">
        <v>97</v>
      </c>
      <c r="C9" s="4" t="s">
        <v>98</v>
      </c>
      <c r="D9" s="5">
        <v>8</v>
      </c>
      <c r="E9" s="5">
        <v>0</v>
      </c>
      <c r="F9" s="6">
        <f t="shared" si="0"/>
        <v>0</v>
      </c>
      <c r="G9" s="7">
        <v>18.33200725</v>
      </c>
      <c r="H9" s="7">
        <v>18.778245999999999</v>
      </c>
      <c r="I9" s="7">
        <v>23.280957399999998</v>
      </c>
      <c r="J9" s="7">
        <v>24.6003167</v>
      </c>
      <c r="K9" s="7">
        <v>25.655804140000001</v>
      </c>
      <c r="L9" s="7">
        <v>25.919675999999999</v>
      </c>
      <c r="M9" s="8" t="str">
        <f>IF(AND(J9&lt;=วิธีทดสอบและเกณฑ์!$B$17,F9&lt;=วิธีทดสอบและเกณฑ์!$B$19),"ผ่าน","ไม่ผ่าน")</f>
        <v>ผ่าน</v>
      </c>
    </row>
    <row r="10" spans="1:13" x14ac:dyDescent="0.3">
      <c r="A10" s="4" t="s">
        <v>88</v>
      </c>
      <c r="B10" s="4" t="s">
        <v>99</v>
      </c>
      <c r="C10" s="4" t="s">
        <v>100</v>
      </c>
      <c r="D10" s="5">
        <v>8</v>
      </c>
      <c r="E10" s="5">
        <v>0</v>
      </c>
      <c r="F10" s="6">
        <f t="shared" si="0"/>
        <v>0</v>
      </c>
      <c r="G10" s="7">
        <v>16.57045875</v>
      </c>
      <c r="H10" s="7">
        <v>16.16948</v>
      </c>
      <c r="I10" s="7">
        <v>23.743366200000001</v>
      </c>
      <c r="J10" s="7">
        <v>24.3076656</v>
      </c>
      <c r="K10" s="7">
        <v>24.759105120000001</v>
      </c>
      <c r="L10" s="7">
        <v>24.871964999999999</v>
      </c>
      <c r="M10" s="8" t="str">
        <f>IF(AND(J10&lt;=วิธีทดสอบและเกณฑ์!$B$17,F10&lt;=วิธีทดสอบและเกณฑ์!$B$19),"ผ่าน","ไม่ผ่าน")</f>
        <v>ผ่าน</v>
      </c>
    </row>
    <row r="11" spans="1:13" x14ac:dyDescent="0.3">
      <c r="A11" s="4" t="s">
        <v>88</v>
      </c>
      <c r="B11" s="4" t="s">
        <v>101</v>
      </c>
      <c r="C11" s="4" t="s">
        <v>102</v>
      </c>
      <c r="D11" s="5">
        <v>8</v>
      </c>
      <c r="E11" s="5">
        <v>0</v>
      </c>
      <c r="F11" s="6">
        <f t="shared" si="0"/>
        <v>0</v>
      </c>
      <c r="G11" s="7">
        <v>18.497820874999999</v>
      </c>
      <c r="H11" s="7">
        <v>17.071701000000001</v>
      </c>
      <c r="I11" s="7">
        <v>28.292063899999999</v>
      </c>
      <c r="J11" s="7">
        <v>29.595555950000001</v>
      </c>
      <c r="K11" s="7">
        <v>30.638349590000001</v>
      </c>
      <c r="L11" s="7">
        <v>30.899048000000001</v>
      </c>
      <c r="M11" s="8" t="str">
        <f>IF(AND(J11&lt;=วิธีทดสอบและเกณฑ์!$B$17,F11&lt;=วิธีทดสอบและเกณฑ์!$B$19),"ผ่าน","ไม่ผ่าน")</f>
        <v>ผ่าน</v>
      </c>
    </row>
    <row r="12" spans="1:13" x14ac:dyDescent="0.3">
      <c r="A12" s="4" t="s">
        <v>88</v>
      </c>
      <c r="B12" s="4" t="s">
        <v>103</v>
      </c>
      <c r="C12" s="4" t="s">
        <v>104</v>
      </c>
      <c r="D12" s="5">
        <v>8</v>
      </c>
      <c r="E12" s="5">
        <v>0</v>
      </c>
      <c r="F12" s="6">
        <f t="shared" si="0"/>
        <v>0</v>
      </c>
      <c r="G12" s="7">
        <v>14.7690375</v>
      </c>
      <c r="H12" s="7">
        <v>15.082271499999999</v>
      </c>
      <c r="I12" s="7">
        <v>18.2978454</v>
      </c>
      <c r="J12" s="7">
        <v>19.8680077</v>
      </c>
      <c r="K12" s="7">
        <v>21.12413754</v>
      </c>
      <c r="L12" s="7">
        <v>21.43817</v>
      </c>
      <c r="M12" s="8" t="str">
        <f>IF(AND(J12&lt;=วิธีทดสอบและเกณฑ์!$B$17,F12&lt;=วิธีทดสอบและเกณฑ์!$B$19),"ผ่าน","ไม่ผ่าน")</f>
        <v>ผ่าน</v>
      </c>
    </row>
    <row r="13" spans="1:13" x14ac:dyDescent="0.3">
      <c r="A13" s="4" t="s">
        <v>88</v>
      </c>
      <c r="B13" s="4" t="s">
        <v>105</v>
      </c>
      <c r="C13" s="4" t="s">
        <v>106</v>
      </c>
      <c r="D13" s="5">
        <v>8</v>
      </c>
      <c r="E13" s="5">
        <v>0</v>
      </c>
      <c r="F13" s="6">
        <f t="shared" si="0"/>
        <v>0</v>
      </c>
      <c r="G13" s="7">
        <v>42.095593749999999</v>
      </c>
      <c r="H13" s="7">
        <v>41.488008499999999</v>
      </c>
      <c r="I13" s="7">
        <v>50.0135231</v>
      </c>
      <c r="J13" s="7">
        <v>52.714860549999997</v>
      </c>
      <c r="K13" s="7">
        <v>54.875930510000003</v>
      </c>
      <c r="L13" s="7">
        <v>55.416198000000001</v>
      </c>
      <c r="M13" s="8" t="str">
        <f>IF(AND(J13&lt;=วิธีทดสอบและเกณฑ์!$B$17,F13&lt;=วิธีทดสอบและเกณฑ์!$B$19),"ผ่าน","ไม่ผ่าน")</f>
        <v>ผ่าน</v>
      </c>
    </row>
    <row r="14" spans="1:13" x14ac:dyDescent="0.3">
      <c r="A14" s="4" t="s">
        <v>88</v>
      </c>
      <c r="B14" s="4" t="s">
        <v>107</v>
      </c>
      <c r="C14" s="4" t="s">
        <v>108</v>
      </c>
      <c r="D14" s="5">
        <v>8</v>
      </c>
      <c r="E14" s="5">
        <v>0</v>
      </c>
      <c r="F14" s="6">
        <f t="shared" si="0"/>
        <v>0</v>
      </c>
      <c r="G14" s="7">
        <v>9.5646951250000001</v>
      </c>
      <c r="H14" s="7">
        <v>9.7367015000000006</v>
      </c>
      <c r="I14" s="7">
        <v>12.4007252</v>
      </c>
      <c r="J14" s="7">
        <v>13.3158121</v>
      </c>
      <c r="K14" s="7">
        <v>14.04788162</v>
      </c>
      <c r="L14" s="7">
        <v>14.230899000000001</v>
      </c>
      <c r="M14" s="8" t="str">
        <f>IF(AND(J14&lt;=วิธีทดสอบและเกณฑ์!$B$17,F14&lt;=วิธีทดสอบและเกณฑ์!$B$19),"ผ่าน","ไม่ผ่าน")</f>
        <v>ผ่าน</v>
      </c>
    </row>
    <row r="15" spans="1:13" x14ac:dyDescent="0.3">
      <c r="A15" s="4" t="s">
        <v>88</v>
      </c>
      <c r="B15" s="4" t="s">
        <v>109</v>
      </c>
      <c r="C15" s="4" t="s">
        <v>110</v>
      </c>
      <c r="D15" s="5">
        <v>8</v>
      </c>
      <c r="E15" s="5">
        <v>0</v>
      </c>
      <c r="F15" s="6">
        <f t="shared" si="0"/>
        <v>0</v>
      </c>
      <c r="G15" s="7">
        <v>10.75258575</v>
      </c>
      <c r="H15" s="7">
        <v>11.191345500000001</v>
      </c>
      <c r="I15" s="7">
        <v>15.246895800000001</v>
      </c>
      <c r="J15" s="7">
        <v>15.8042099</v>
      </c>
      <c r="K15" s="7">
        <v>16.250061179999999</v>
      </c>
      <c r="L15" s="7">
        <v>16.361523999999999</v>
      </c>
      <c r="M15" s="8" t="str">
        <f>IF(AND(J15&lt;=วิธีทดสอบและเกณฑ์!$B$17,F15&lt;=วิธีทดสอบและเกณฑ์!$B$19),"ผ่าน","ไม่ผ่าน")</f>
        <v>ผ่าน</v>
      </c>
    </row>
    <row r="16" spans="1:13" x14ac:dyDescent="0.3">
      <c r="A16" s="4" t="s">
        <v>88</v>
      </c>
      <c r="B16" s="4" t="s">
        <v>111</v>
      </c>
      <c r="C16" s="4" t="s">
        <v>112</v>
      </c>
      <c r="D16" s="5">
        <v>8</v>
      </c>
      <c r="E16" s="5">
        <v>0</v>
      </c>
      <c r="F16" s="6">
        <f t="shared" si="0"/>
        <v>0</v>
      </c>
      <c r="G16" s="7">
        <v>56.146000000000001</v>
      </c>
      <c r="H16" s="7">
        <v>58.027915999999998</v>
      </c>
      <c r="I16" s="7">
        <v>73.629118599999998</v>
      </c>
      <c r="J16" s="7">
        <v>77.443664300000009</v>
      </c>
      <c r="K16" s="7">
        <v>80.49530086</v>
      </c>
      <c r="L16" s="7">
        <v>81.258210000000005</v>
      </c>
      <c r="M16" s="8" t="str">
        <f>IF(AND(J16&lt;=วิธีทดสอบและเกณฑ์!$B$17,F16&lt;=วิธีทดสอบและเกณฑ์!$B$19),"ผ่าน","ไม่ผ่าน")</f>
        <v>ผ่าน</v>
      </c>
    </row>
    <row r="17" spans="1:13" x14ac:dyDescent="0.3">
      <c r="A17" s="4" t="s">
        <v>88</v>
      </c>
      <c r="B17" s="4" t="s">
        <v>113</v>
      </c>
      <c r="C17" s="4" t="s">
        <v>114</v>
      </c>
      <c r="D17" s="5">
        <v>8</v>
      </c>
      <c r="E17" s="5">
        <v>0</v>
      </c>
      <c r="F17" s="6">
        <f t="shared" si="0"/>
        <v>0</v>
      </c>
      <c r="G17" s="7">
        <v>71.548233124999996</v>
      </c>
      <c r="H17" s="7">
        <v>70.5679205</v>
      </c>
      <c r="I17" s="7">
        <v>98.744840199999999</v>
      </c>
      <c r="J17" s="7">
        <v>99.221163599999997</v>
      </c>
      <c r="K17" s="7">
        <v>99.602222319999996</v>
      </c>
      <c r="L17" s="7">
        <v>99.697486999999995</v>
      </c>
      <c r="M17" s="8" t="str">
        <f>IF(AND(J17&lt;=วิธีทดสอบและเกณฑ์!$B$17,F17&lt;=วิธีทดสอบและเกณฑ์!$B$19),"ผ่าน","ไม่ผ่าน")</f>
        <v>ผ่าน</v>
      </c>
    </row>
    <row r="18" spans="1:13" x14ac:dyDescent="0.3">
      <c r="A18" s="4" t="s">
        <v>88</v>
      </c>
      <c r="B18" s="4" t="s">
        <v>115</v>
      </c>
      <c r="C18" s="4" t="s">
        <v>116</v>
      </c>
      <c r="D18" s="5">
        <v>8</v>
      </c>
      <c r="E18" s="5">
        <v>0</v>
      </c>
      <c r="F18" s="6">
        <f t="shared" si="0"/>
        <v>0</v>
      </c>
      <c r="G18" s="7">
        <v>17.084710125000001</v>
      </c>
      <c r="H18" s="7">
        <v>15.221149</v>
      </c>
      <c r="I18" s="7">
        <v>24.116377700000001</v>
      </c>
      <c r="J18" s="7">
        <v>28.604952350000001</v>
      </c>
      <c r="K18" s="7">
        <v>32.195812070000002</v>
      </c>
      <c r="L18" s="7">
        <v>33.093527000000002</v>
      </c>
      <c r="M18" s="8" t="str">
        <f>IF(AND(J18&lt;=วิธีทดสอบและเกณฑ์!$B$17,F18&lt;=วิธีทดสอบและเกณฑ์!$B$19),"ผ่าน","ไม่ผ่าน")</f>
        <v>ผ่าน</v>
      </c>
    </row>
    <row r="19" spans="1:13" x14ac:dyDescent="0.3">
      <c r="A19" s="4" t="s">
        <v>88</v>
      </c>
      <c r="B19" s="4" t="s">
        <v>117</v>
      </c>
      <c r="C19" s="4" t="s">
        <v>118</v>
      </c>
      <c r="D19" s="5">
        <v>8</v>
      </c>
      <c r="E19" s="5">
        <v>0</v>
      </c>
      <c r="F19" s="6">
        <f t="shared" si="0"/>
        <v>0</v>
      </c>
      <c r="G19" s="7">
        <v>25.586389499999999</v>
      </c>
      <c r="H19" s="7">
        <v>23.905029500000001</v>
      </c>
      <c r="I19" s="7">
        <v>34.464281900000003</v>
      </c>
      <c r="J19" s="7">
        <v>40.191934949999997</v>
      </c>
      <c r="K19" s="7">
        <v>44.774057390000003</v>
      </c>
      <c r="L19" s="7">
        <v>45.919587999999997</v>
      </c>
      <c r="M19" s="8" t="str">
        <f>IF(AND(J19&lt;=วิธีทดสอบและเกณฑ์!$B$17,F19&lt;=วิธีทดสอบและเกณฑ์!$B$19),"ผ่าน","ไม่ผ่าน")</f>
        <v>ผ่าน</v>
      </c>
    </row>
    <row r="20" spans="1:13" x14ac:dyDescent="0.3">
      <c r="A20" s="4" t="s">
        <v>119</v>
      </c>
      <c r="B20" s="4" t="s">
        <v>89</v>
      </c>
      <c r="C20" s="4" t="s">
        <v>90</v>
      </c>
      <c r="D20" s="5">
        <v>2192</v>
      </c>
      <c r="E20" s="5">
        <v>0</v>
      </c>
      <c r="F20" s="6">
        <f t="shared" si="0"/>
        <v>0</v>
      </c>
      <c r="G20" s="7">
        <v>8.4542874530109486</v>
      </c>
      <c r="H20" s="7">
        <v>7.1742024999999998</v>
      </c>
      <c r="I20" s="7">
        <v>14.1340825</v>
      </c>
      <c r="J20" s="7">
        <v>18.152015049999999</v>
      </c>
      <c r="K20" s="7">
        <v>26.869682890000082</v>
      </c>
      <c r="L20" s="7">
        <v>69.148506999999995</v>
      </c>
      <c r="M20" s="8" t="str">
        <f>IF(AND(J20&lt;=วิธีทดสอบและเกณฑ์!$B$17,F20&lt;=วิธีทดสอบและเกณฑ์!$B$19),"ผ่าน","ไม่ผ่าน")</f>
        <v>ผ่าน</v>
      </c>
    </row>
    <row r="21" spans="1:13" x14ac:dyDescent="0.3">
      <c r="A21" s="4" t="s">
        <v>119</v>
      </c>
      <c r="B21" s="4" t="s">
        <v>91</v>
      </c>
      <c r="C21" s="4" t="s">
        <v>92</v>
      </c>
      <c r="D21" s="5">
        <v>2192</v>
      </c>
      <c r="E21" s="5">
        <v>0</v>
      </c>
      <c r="F21" s="6">
        <f t="shared" si="0"/>
        <v>0</v>
      </c>
      <c r="G21" s="7">
        <v>8.6637400953467161</v>
      </c>
      <c r="H21" s="7">
        <v>7.4340039999999998</v>
      </c>
      <c r="I21" s="7">
        <v>13.6491448</v>
      </c>
      <c r="J21" s="7">
        <v>17.894407449999989</v>
      </c>
      <c r="K21" s="7">
        <v>26.79965596000002</v>
      </c>
      <c r="L21" s="7">
        <v>68.544718000000003</v>
      </c>
      <c r="M21" s="8" t="str">
        <f>IF(AND(J21&lt;=วิธีทดสอบและเกณฑ์!$B$17,F21&lt;=วิธีทดสอบและเกณฑ์!$B$19),"ผ่าน","ไม่ผ่าน")</f>
        <v>ผ่าน</v>
      </c>
    </row>
    <row r="22" spans="1:13" x14ac:dyDescent="0.3">
      <c r="A22" s="4" t="s">
        <v>119</v>
      </c>
      <c r="B22" s="4" t="s">
        <v>93</v>
      </c>
      <c r="C22" s="4" t="s">
        <v>94</v>
      </c>
      <c r="D22" s="5">
        <v>2192</v>
      </c>
      <c r="E22" s="5">
        <v>0</v>
      </c>
      <c r="F22" s="6">
        <f t="shared" si="0"/>
        <v>0</v>
      </c>
      <c r="G22" s="7">
        <v>7.8386975118613131</v>
      </c>
      <c r="H22" s="7">
        <v>6.4250610000000004</v>
      </c>
      <c r="I22" s="7">
        <v>13.1146694</v>
      </c>
      <c r="J22" s="7">
        <v>17.168958849999999</v>
      </c>
      <c r="K22" s="7">
        <v>27.943365850000038</v>
      </c>
      <c r="L22" s="7">
        <v>72.782696999999999</v>
      </c>
      <c r="M22" s="8" t="str">
        <f>IF(AND(J22&lt;=วิธีทดสอบและเกณฑ์!$B$17,F22&lt;=วิธีทดสอบและเกณฑ์!$B$19),"ผ่าน","ไม่ผ่าน")</f>
        <v>ผ่าน</v>
      </c>
    </row>
    <row r="23" spans="1:13" x14ac:dyDescent="0.3">
      <c r="A23" s="4" t="s">
        <v>119</v>
      </c>
      <c r="B23" s="4" t="s">
        <v>95</v>
      </c>
      <c r="C23" s="4" t="s">
        <v>96</v>
      </c>
      <c r="D23" s="5">
        <v>2192</v>
      </c>
      <c r="E23" s="5">
        <v>0</v>
      </c>
      <c r="F23" s="6">
        <f t="shared" si="0"/>
        <v>0</v>
      </c>
      <c r="G23" s="7">
        <v>8.7909224990875909</v>
      </c>
      <c r="H23" s="7">
        <v>7.3034850000000002</v>
      </c>
      <c r="I23" s="7">
        <v>15.033102100000001</v>
      </c>
      <c r="J23" s="7">
        <v>19.045264549999992</v>
      </c>
      <c r="K23" s="7">
        <v>28.745648240000001</v>
      </c>
      <c r="L23" s="7">
        <v>67.694111000000007</v>
      </c>
      <c r="M23" s="8" t="str">
        <f>IF(AND(J23&lt;=วิธีทดสอบและเกณฑ์!$B$17,F23&lt;=วิธีทดสอบและเกณฑ์!$B$19),"ผ่าน","ไม่ผ่าน")</f>
        <v>ผ่าน</v>
      </c>
    </row>
    <row r="24" spans="1:13" x14ac:dyDescent="0.3">
      <c r="A24" s="4" t="s">
        <v>119</v>
      </c>
      <c r="B24" s="4" t="s">
        <v>97</v>
      </c>
      <c r="C24" s="4" t="s">
        <v>98</v>
      </c>
      <c r="D24" s="5">
        <v>1055</v>
      </c>
      <c r="E24" s="5">
        <v>0</v>
      </c>
      <c r="F24" s="6">
        <f t="shared" si="0"/>
        <v>0</v>
      </c>
      <c r="G24" s="7">
        <v>19.284865828436018</v>
      </c>
      <c r="H24" s="7">
        <v>17.680192999999999</v>
      </c>
      <c r="I24" s="7">
        <v>28.164673000000001</v>
      </c>
      <c r="J24" s="7">
        <v>32.930021299999993</v>
      </c>
      <c r="K24" s="7">
        <v>44.447908220000024</v>
      </c>
      <c r="L24" s="7">
        <v>107.57405900000001</v>
      </c>
      <c r="M24" s="8" t="str">
        <f>IF(AND(J24&lt;=วิธีทดสอบและเกณฑ์!$B$17,F24&lt;=วิธีทดสอบและเกณฑ์!$B$19),"ผ่าน","ไม่ผ่าน")</f>
        <v>ผ่าน</v>
      </c>
    </row>
    <row r="25" spans="1:13" x14ac:dyDescent="0.3">
      <c r="A25" s="4" t="s">
        <v>119</v>
      </c>
      <c r="B25" s="4" t="s">
        <v>99</v>
      </c>
      <c r="C25" s="4" t="s">
        <v>100</v>
      </c>
      <c r="D25" s="5">
        <v>1055</v>
      </c>
      <c r="E25" s="5">
        <v>0</v>
      </c>
      <c r="F25" s="6">
        <f t="shared" si="0"/>
        <v>0</v>
      </c>
      <c r="G25" s="7">
        <v>17.851969555450239</v>
      </c>
      <c r="H25" s="7">
        <v>16.413046999999999</v>
      </c>
      <c r="I25" s="7">
        <v>25.919107</v>
      </c>
      <c r="J25" s="7">
        <v>30.073478999999988</v>
      </c>
      <c r="K25" s="7">
        <v>41.415180400000033</v>
      </c>
      <c r="L25" s="7">
        <v>68.178212000000002</v>
      </c>
      <c r="M25" s="8" t="str">
        <f>IF(AND(J25&lt;=วิธีทดสอบและเกณฑ์!$B$17,F25&lt;=วิธีทดสอบและเกณฑ์!$B$19),"ผ่าน","ไม่ผ่าน")</f>
        <v>ผ่าน</v>
      </c>
    </row>
    <row r="26" spans="1:13" x14ac:dyDescent="0.3">
      <c r="A26" s="4" t="s">
        <v>119</v>
      </c>
      <c r="B26" s="4" t="s">
        <v>101</v>
      </c>
      <c r="C26" s="4" t="s">
        <v>102</v>
      </c>
      <c r="D26" s="5">
        <v>1055</v>
      </c>
      <c r="E26" s="5">
        <v>0</v>
      </c>
      <c r="F26" s="6">
        <f t="shared" si="0"/>
        <v>0</v>
      </c>
      <c r="G26" s="7">
        <v>18.30525144739336</v>
      </c>
      <c r="H26" s="7">
        <v>17.119865000000001</v>
      </c>
      <c r="I26" s="7">
        <v>26.038168599999999</v>
      </c>
      <c r="J26" s="7">
        <v>30.209811999999999</v>
      </c>
      <c r="K26" s="7">
        <v>37.170431640000011</v>
      </c>
      <c r="L26" s="7">
        <v>85.960661000000002</v>
      </c>
      <c r="M26" s="8" t="str">
        <f>IF(AND(J26&lt;=วิธีทดสอบและเกณฑ์!$B$17,F26&lt;=วิธีทดสอบและเกณฑ์!$B$19),"ผ่าน","ไม่ผ่าน")</f>
        <v>ผ่าน</v>
      </c>
    </row>
    <row r="27" spans="1:13" x14ac:dyDescent="0.3">
      <c r="A27" s="4" t="s">
        <v>119</v>
      </c>
      <c r="B27" s="4" t="s">
        <v>103</v>
      </c>
      <c r="C27" s="4" t="s">
        <v>104</v>
      </c>
      <c r="D27" s="5">
        <v>1055</v>
      </c>
      <c r="E27" s="5">
        <v>0</v>
      </c>
      <c r="F27" s="6">
        <f t="shared" si="0"/>
        <v>0</v>
      </c>
      <c r="G27" s="7">
        <v>14.92658737345972</v>
      </c>
      <c r="H27" s="7">
        <v>13.275805</v>
      </c>
      <c r="I27" s="7">
        <v>22.801995999999999</v>
      </c>
      <c r="J27" s="7">
        <v>27.75246919999999</v>
      </c>
      <c r="K27" s="7">
        <v>36.798287760000044</v>
      </c>
      <c r="L27" s="7">
        <v>85.733737000000005</v>
      </c>
      <c r="M27" s="8" t="str">
        <f>IF(AND(J27&lt;=วิธีทดสอบและเกณฑ์!$B$17,F27&lt;=วิธีทดสอบและเกณฑ์!$B$19),"ผ่าน","ไม่ผ่าน")</f>
        <v>ผ่าน</v>
      </c>
    </row>
    <row r="28" spans="1:13" x14ac:dyDescent="0.3">
      <c r="A28" s="4" t="s">
        <v>119</v>
      </c>
      <c r="B28" s="4" t="s">
        <v>105</v>
      </c>
      <c r="C28" s="4" t="s">
        <v>106</v>
      </c>
      <c r="D28" s="5">
        <v>1055</v>
      </c>
      <c r="E28" s="5">
        <v>0</v>
      </c>
      <c r="F28" s="6">
        <f t="shared" si="0"/>
        <v>0</v>
      </c>
      <c r="G28" s="7">
        <v>41.030851538388617</v>
      </c>
      <c r="H28" s="7">
        <v>40.604129</v>
      </c>
      <c r="I28" s="7">
        <v>53.472155000000001</v>
      </c>
      <c r="J28" s="7">
        <v>59.025597999999988</v>
      </c>
      <c r="K28" s="7">
        <v>73.408058600000075</v>
      </c>
      <c r="L28" s="7">
        <v>159.79424299999999</v>
      </c>
      <c r="M28" s="8" t="str">
        <f>IF(AND(J28&lt;=วิธีทดสอบและเกณฑ์!$B$17,F28&lt;=วิธีทดสอบและเกณฑ์!$B$19),"ผ่าน","ไม่ผ่าน")</f>
        <v>ผ่าน</v>
      </c>
    </row>
    <row r="29" spans="1:13" x14ac:dyDescent="0.3">
      <c r="A29" s="4" t="s">
        <v>119</v>
      </c>
      <c r="B29" s="4" t="s">
        <v>107</v>
      </c>
      <c r="C29" s="4" t="s">
        <v>108</v>
      </c>
      <c r="D29" s="5">
        <v>1055</v>
      </c>
      <c r="E29" s="5">
        <v>0</v>
      </c>
      <c r="F29" s="6">
        <f t="shared" si="0"/>
        <v>0</v>
      </c>
      <c r="G29" s="7">
        <v>9.8664900682464456</v>
      </c>
      <c r="H29" s="7">
        <v>8.9272019999999994</v>
      </c>
      <c r="I29" s="7">
        <v>15.7142812</v>
      </c>
      <c r="J29" s="7">
        <v>19.328009600000001</v>
      </c>
      <c r="K29" s="7">
        <v>27.39520516000001</v>
      </c>
      <c r="L29" s="7">
        <v>44.664223999999997</v>
      </c>
      <c r="M29" s="8" t="str">
        <f>IF(AND(J29&lt;=วิธีทดสอบและเกณฑ์!$B$17,F29&lt;=วิธีทดสอบและเกณฑ์!$B$19),"ผ่าน","ไม่ผ่าน")</f>
        <v>ผ่าน</v>
      </c>
    </row>
    <row r="30" spans="1:13" x14ac:dyDescent="0.3">
      <c r="A30" s="4" t="s">
        <v>119</v>
      </c>
      <c r="B30" s="4" t="s">
        <v>109</v>
      </c>
      <c r="C30" s="4" t="s">
        <v>110</v>
      </c>
      <c r="D30" s="5">
        <v>1055</v>
      </c>
      <c r="E30" s="5">
        <v>0</v>
      </c>
      <c r="F30" s="6">
        <f t="shared" si="0"/>
        <v>0</v>
      </c>
      <c r="G30" s="7">
        <v>12.73741157630332</v>
      </c>
      <c r="H30" s="7">
        <v>10.872312000000001</v>
      </c>
      <c r="I30" s="7">
        <v>21.578709</v>
      </c>
      <c r="J30" s="7">
        <v>25.403705299999999</v>
      </c>
      <c r="K30" s="7">
        <v>34.247753100000011</v>
      </c>
      <c r="L30" s="7">
        <v>47.039113</v>
      </c>
      <c r="M30" s="8" t="str">
        <f>IF(AND(J30&lt;=วิธีทดสอบและเกณฑ์!$B$17,F30&lt;=วิธีทดสอบและเกณฑ์!$B$19),"ผ่าน","ไม่ผ่าน")</f>
        <v>ผ่าน</v>
      </c>
    </row>
    <row r="31" spans="1:13" x14ac:dyDescent="0.3">
      <c r="A31" s="4" t="s">
        <v>119</v>
      </c>
      <c r="B31" s="4" t="s">
        <v>111</v>
      </c>
      <c r="C31" s="4" t="s">
        <v>112</v>
      </c>
      <c r="D31" s="5">
        <v>1055</v>
      </c>
      <c r="E31" s="5">
        <v>0</v>
      </c>
      <c r="F31" s="6">
        <f t="shared" si="0"/>
        <v>0</v>
      </c>
      <c r="G31" s="7">
        <v>50.274705461611383</v>
      </c>
      <c r="H31" s="7">
        <v>49.372132999999998</v>
      </c>
      <c r="I31" s="7">
        <v>66.193630399999989</v>
      </c>
      <c r="J31" s="7">
        <v>71.726134700000003</v>
      </c>
      <c r="K31" s="7">
        <v>85.234707220000018</v>
      </c>
      <c r="L31" s="7">
        <v>123.714849</v>
      </c>
      <c r="M31" s="8" t="str">
        <f>IF(AND(J31&lt;=วิธีทดสอบและเกณฑ์!$B$17,F31&lt;=วิธีทดสอบและเกณฑ์!$B$19),"ผ่าน","ไม่ผ่าน")</f>
        <v>ผ่าน</v>
      </c>
    </row>
    <row r="32" spans="1:13" x14ac:dyDescent="0.3">
      <c r="A32" s="4" t="s">
        <v>119</v>
      </c>
      <c r="B32" s="4" t="s">
        <v>113</v>
      </c>
      <c r="C32" s="4" t="s">
        <v>114</v>
      </c>
      <c r="D32" s="5">
        <v>1055</v>
      </c>
      <c r="E32" s="5">
        <v>0</v>
      </c>
      <c r="F32" s="6">
        <f t="shared" si="0"/>
        <v>0</v>
      </c>
      <c r="G32" s="7">
        <v>52.0876811042654</v>
      </c>
      <c r="H32" s="7">
        <v>51.301606</v>
      </c>
      <c r="I32" s="7">
        <v>68.207314999999994</v>
      </c>
      <c r="J32" s="7">
        <v>73.648245700000004</v>
      </c>
      <c r="K32" s="7">
        <v>88.544497820000004</v>
      </c>
      <c r="L32" s="7">
        <v>198.09479200000001</v>
      </c>
      <c r="M32" s="8" t="str">
        <f>IF(AND(J32&lt;=วิธีทดสอบและเกณฑ์!$B$17,F32&lt;=วิธีทดสอบและเกณฑ์!$B$19),"ผ่าน","ไม่ผ่าน")</f>
        <v>ผ่าน</v>
      </c>
    </row>
    <row r="33" spans="1:13" x14ac:dyDescent="0.3">
      <c r="A33" s="4" t="s">
        <v>119</v>
      </c>
      <c r="B33" s="4" t="s">
        <v>115</v>
      </c>
      <c r="C33" s="4" t="s">
        <v>116</v>
      </c>
      <c r="D33" s="5">
        <v>1055</v>
      </c>
      <c r="E33" s="5">
        <v>0</v>
      </c>
      <c r="F33" s="6">
        <f t="shared" si="0"/>
        <v>0</v>
      </c>
      <c r="G33" s="7">
        <v>17.077054745971559</v>
      </c>
      <c r="H33" s="7">
        <v>15.081837</v>
      </c>
      <c r="I33" s="7">
        <v>26.4805046</v>
      </c>
      <c r="J33" s="7">
        <v>30.247280700000001</v>
      </c>
      <c r="K33" s="7">
        <v>43.256882580000017</v>
      </c>
      <c r="L33" s="7">
        <v>53.649467999999999</v>
      </c>
      <c r="M33" s="8" t="str">
        <f>IF(AND(J33&lt;=วิธีทดสอบและเกณฑ์!$B$17,F33&lt;=วิธีทดสอบและเกณฑ์!$B$19),"ผ่าน","ไม่ผ่าน")</f>
        <v>ผ่าน</v>
      </c>
    </row>
    <row r="34" spans="1:13" x14ac:dyDescent="0.3">
      <c r="A34" s="4" t="s">
        <v>119</v>
      </c>
      <c r="B34" s="4" t="s">
        <v>117</v>
      </c>
      <c r="C34" s="4" t="s">
        <v>118</v>
      </c>
      <c r="D34" s="5">
        <v>1055</v>
      </c>
      <c r="E34" s="5">
        <v>0</v>
      </c>
      <c r="F34" s="6">
        <f t="shared" si="0"/>
        <v>0</v>
      </c>
      <c r="G34" s="7">
        <v>21.83388750616114</v>
      </c>
      <c r="H34" s="7">
        <v>20.290997999999998</v>
      </c>
      <c r="I34" s="7">
        <v>31.801327799999999</v>
      </c>
      <c r="J34" s="7">
        <v>36.153992799999997</v>
      </c>
      <c r="K34" s="7">
        <v>50.094245060000063</v>
      </c>
      <c r="L34" s="7">
        <v>95.838741999999996</v>
      </c>
      <c r="M34" s="8" t="str">
        <f>IF(AND(J34&lt;=วิธีทดสอบและเกณฑ์!$B$17,F34&lt;=วิธีทดสอบและเกณฑ์!$B$19),"ผ่าน","ไม่ผ่าน")</f>
        <v>ผ่าน</v>
      </c>
    </row>
    <row r="35" spans="1:13" x14ac:dyDescent="0.3">
      <c r="A35" s="4" t="s">
        <v>120</v>
      </c>
      <c r="B35" s="4" t="s">
        <v>89</v>
      </c>
      <c r="C35" s="4" t="s">
        <v>90</v>
      </c>
      <c r="D35" s="5">
        <v>5969</v>
      </c>
      <c r="E35" s="5">
        <v>0</v>
      </c>
      <c r="F35" s="6">
        <f t="shared" si="0"/>
        <v>0</v>
      </c>
      <c r="G35" s="7">
        <v>226.98455876394701</v>
      </c>
      <c r="H35" s="7">
        <v>204.24411599999999</v>
      </c>
      <c r="I35" s="7">
        <v>509.30244440000001</v>
      </c>
      <c r="J35" s="7">
        <v>540.79007459999991</v>
      </c>
      <c r="K35" s="7">
        <v>599.46924836000005</v>
      </c>
      <c r="L35" s="7">
        <v>666.51467600000001</v>
      </c>
      <c r="M35" s="8" t="str">
        <f>IF(AND(J35&lt;=วิธีทดสอบและเกณฑ์!$B$17,F35&lt;=วิธีทดสอบและเกณฑ์!$B$19),"ผ่าน","ไม่ผ่าน")</f>
        <v>ผ่าน</v>
      </c>
    </row>
    <row r="36" spans="1:13" x14ac:dyDescent="0.3">
      <c r="A36" s="4" t="s">
        <v>120</v>
      </c>
      <c r="B36" s="4" t="s">
        <v>91</v>
      </c>
      <c r="C36" s="4" t="s">
        <v>92</v>
      </c>
      <c r="D36" s="5">
        <v>5969</v>
      </c>
      <c r="E36" s="5">
        <v>0</v>
      </c>
      <c r="F36" s="6">
        <f t="shared" si="0"/>
        <v>0</v>
      </c>
      <c r="G36" s="7">
        <v>228.05768110772331</v>
      </c>
      <c r="H36" s="7">
        <v>204.31083699999999</v>
      </c>
      <c r="I36" s="7">
        <v>506.90198759999998</v>
      </c>
      <c r="J36" s="7">
        <v>542.6660098000001</v>
      </c>
      <c r="K36" s="7">
        <v>600.21802979999984</v>
      </c>
      <c r="L36" s="7">
        <v>666.46645799999999</v>
      </c>
      <c r="M36" s="8" t="str">
        <f>IF(AND(J36&lt;=วิธีทดสอบและเกณฑ์!$B$17,F36&lt;=วิธีทดสอบและเกณฑ์!$B$19),"ผ่าน","ไม่ผ่าน")</f>
        <v>ผ่าน</v>
      </c>
    </row>
    <row r="37" spans="1:13" x14ac:dyDescent="0.3">
      <c r="A37" s="4" t="s">
        <v>120</v>
      </c>
      <c r="B37" s="4" t="s">
        <v>93</v>
      </c>
      <c r="C37" s="4" t="s">
        <v>94</v>
      </c>
      <c r="D37" s="5">
        <v>5969</v>
      </c>
      <c r="E37" s="5">
        <v>0</v>
      </c>
      <c r="F37" s="6">
        <f t="shared" ref="F37:F68" si="1">IF(D37=0,0,E37/D37)</f>
        <v>0</v>
      </c>
      <c r="G37" s="7">
        <v>227.0081393447814</v>
      </c>
      <c r="H37" s="7">
        <v>204.710429</v>
      </c>
      <c r="I37" s="7">
        <v>505.86718919999993</v>
      </c>
      <c r="J37" s="7">
        <v>540.54399380000007</v>
      </c>
      <c r="K37" s="7">
        <v>599.14729747999991</v>
      </c>
      <c r="L37" s="7">
        <v>672.18165999999997</v>
      </c>
      <c r="M37" s="8" t="str">
        <f>IF(AND(J37&lt;=วิธีทดสอบและเกณฑ์!$B$17,F37&lt;=วิธีทดสอบและเกณฑ์!$B$19),"ผ่าน","ไม่ผ่าน")</f>
        <v>ผ่าน</v>
      </c>
    </row>
    <row r="38" spans="1:13" x14ac:dyDescent="0.3">
      <c r="A38" s="4" t="s">
        <v>120</v>
      </c>
      <c r="B38" s="4" t="s">
        <v>95</v>
      </c>
      <c r="C38" s="4" t="s">
        <v>96</v>
      </c>
      <c r="D38" s="5">
        <v>5969</v>
      </c>
      <c r="E38" s="5">
        <v>0</v>
      </c>
      <c r="F38" s="6">
        <f t="shared" si="1"/>
        <v>0</v>
      </c>
      <c r="G38" s="7">
        <v>228.66423869592899</v>
      </c>
      <c r="H38" s="7">
        <v>203.31786500000001</v>
      </c>
      <c r="I38" s="7">
        <v>506.2419438</v>
      </c>
      <c r="J38" s="7">
        <v>541.6579766000001</v>
      </c>
      <c r="K38" s="7">
        <v>603.97299231999989</v>
      </c>
      <c r="L38" s="7">
        <v>684.94341599999996</v>
      </c>
      <c r="M38" s="8" t="str">
        <f>IF(AND(J38&lt;=วิธีทดสอบและเกณฑ์!$B$17,F38&lt;=วิธีทดสอบและเกณฑ์!$B$19),"ผ่าน","ไม่ผ่าน")</f>
        <v>ผ่าน</v>
      </c>
    </row>
    <row r="39" spans="1:13" x14ac:dyDescent="0.3">
      <c r="A39" s="4" t="s">
        <v>120</v>
      </c>
      <c r="B39" s="4" t="s">
        <v>97</v>
      </c>
      <c r="C39" s="4" t="s">
        <v>98</v>
      </c>
      <c r="D39" s="5">
        <v>2220</v>
      </c>
      <c r="E39" s="5">
        <v>0</v>
      </c>
      <c r="F39" s="6">
        <f t="shared" si="1"/>
        <v>0</v>
      </c>
      <c r="G39" s="7">
        <v>375.81295995270273</v>
      </c>
      <c r="H39" s="7">
        <v>274.18530950000002</v>
      </c>
      <c r="I39" s="7">
        <v>952.86781810000002</v>
      </c>
      <c r="J39" s="7">
        <v>1058.820508</v>
      </c>
      <c r="K39" s="7">
        <v>1152.72790102</v>
      </c>
      <c r="L39" s="7">
        <v>1249.152462</v>
      </c>
      <c r="M39" s="8" t="str">
        <f>IF(AND(J39&lt;=วิธีทดสอบและเกณฑ์!$B$17,F39&lt;=วิธีทดสอบและเกณฑ์!$B$19),"ผ่าน","ไม่ผ่าน")</f>
        <v>ไม่ผ่าน</v>
      </c>
    </row>
    <row r="40" spans="1:13" x14ac:dyDescent="0.3">
      <c r="A40" s="4" t="s">
        <v>120</v>
      </c>
      <c r="B40" s="4" t="s">
        <v>99</v>
      </c>
      <c r="C40" s="4" t="s">
        <v>100</v>
      </c>
      <c r="D40" s="5">
        <v>2224</v>
      </c>
      <c r="E40" s="5">
        <v>0</v>
      </c>
      <c r="F40" s="6">
        <f t="shared" si="1"/>
        <v>0</v>
      </c>
      <c r="G40" s="7">
        <v>286.57903177877688</v>
      </c>
      <c r="H40" s="7">
        <v>208.35561150000001</v>
      </c>
      <c r="I40" s="7">
        <v>724.01657190000003</v>
      </c>
      <c r="J40" s="7">
        <v>790.98533950000001</v>
      </c>
      <c r="K40" s="7">
        <v>882.95088105999992</v>
      </c>
      <c r="L40" s="7">
        <v>971.40468299999998</v>
      </c>
      <c r="M40" s="8" t="str">
        <f>IF(AND(J40&lt;=วิธีทดสอบและเกณฑ์!$B$17,F40&lt;=วิธีทดสอบและเกณฑ์!$B$19),"ผ่าน","ไม่ผ่าน")</f>
        <v>ผ่าน</v>
      </c>
    </row>
    <row r="41" spans="1:13" x14ac:dyDescent="0.3">
      <c r="A41" s="4" t="s">
        <v>120</v>
      </c>
      <c r="B41" s="4" t="s">
        <v>101</v>
      </c>
      <c r="C41" s="4" t="s">
        <v>102</v>
      </c>
      <c r="D41" s="5">
        <v>2224</v>
      </c>
      <c r="E41" s="5">
        <v>0</v>
      </c>
      <c r="F41" s="6">
        <f t="shared" si="1"/>
        <v>0</v>
      </c>
      <c r="G41" s="7">
        <v>287.52425620863312</v>
      </c>
      <c r="H41" s="7">
        <v>216.27978400000001</v>
      </c>
      <c r="I41" s="7">
        <v>725.5652791</v>
      </c>
      <c r="J41" s="7">
        <v>785.21300269999995</v>
      </c>
      <c r="K41" s="7">
        <v>876.07225365999989</v>
      </c>
      <c r="L41" s="7">
        <v>960.36352899999997</v>
      </c>
      <c r="M41" s="8" t="str">
        <f>IF(AND(J41&lt;=วิธีทดสอบและเกณฑ์!$B$17,F41&lt;=วิธีทดสอบและเกณฑ์!$B$19),"ผ่าน","ไม่ผ่าน")</f>
        <v>ผ่าน</v>
      </c>
    </row>
    <row r="42" spans="1:13" x14ac:dyDescent="0.3">
      <c r="A42" s="4" t="s">
        <v>120</v>
      </c>
      <c r="B42" s="4" t="s">
        <v>103</v>
      </c>
      <c r="C42" s="4" t="s">
        <v>104</v>
      </c>
      <c r="D42" s="5">
        <v>2220</v>
      </c>
      <c r="E42" s="5">
        <v>0</v>
      </c>
      <c r="F42" s="6">
        <f t="shared" si="1"/>
        <v>0</v>
      </c>
      <c r="G42" s="7">
        <v>281.32634657837838</v>
      </c>
      <c r="H42" s="7">
        <v>208.5790705</v>
      </c>
      <c r="I42" s="7">
        <v>717.56388759999993</v>
      </c>
      <c r="J42" s="7">
        <v>793.05160645000001</v>
      </c>
      <c r="K42" s="7">
        <v>869.92332337999983</v>
      </c>
      <c r="L42" s="7">
        <v>967.71898799999997</v>
      </c>
      <c r="M42" s="8" t="str">
        <f>IF(AND(J42&lt;=วิธีทดสอบและเกณฑ์!$B$17,F42&lt;=วิธีทดสอบและเกณฑ์!$B$19),"ผ่าน","ไม่ผ่าน")</f>
        <v>ผ่าน</v>
      </c>
    </row>
    <row r="43" spans="1:13" x14ac:dyDescent="0.3">
      <c r="A43" s="4" t="s">
        <v>120</v>
      </c>
      <c r="B43" s="4" t="s">
        <v>105</v>
      </c>
      <c r="C43" s="4" t="s">
        <v>106</v>
      </c>
      <c r="D43" s="5">
        <v>2223</v>
      </c>
      <c r="E43" s="5">
        <v>0</v>
      </c>
      <c r="F43" s="6">
        <f t="shared" si="1"/>
        <v>0</v>
      </c>
      <c r="G43" s="7">
        <v>303.48507736527222</v>
      </c>
      <c r="H43" s="7">
        <v>227.804023</v>
      </c>
      <c r="I43" s="7">
        <v>738.89604599999996</v>
      </c>
      <c r="J43" s="7">
        <v>810.66438840000012</v>
      </c>
      <c r="K43" s="7">
        <v>902.71425242000043</v>
      </c>
      <c r="L43" s="7">
        <v>991.36436300000003</v>
      </c>
      <c r="M43" s="8" t="str">
        <f>IF(AND(J43&lt;=วิธีทดสอบและเกณฑ์!$B$17,F43&lt;=วิธีทดสอบและเกณฑ์!$B$19),"ผ่าน","ไม่ผ่าน")</f>
        <v>ไม่ผ่าน</v>
      </c>
    </row>
    <row r="44" spans="1:13" x14ac:dyDescent="0.3">
      <c r="A44" s="4" t="s">
        <v>120</v>
      </c>
      <c r="B44" s="4" t="s">
        <v>107</v>
      </c>
      <c r="C44" s="4" t="s">
        <v>108</v>
      </c>
      <c r="D44" s="5">
        <v>2224</v>
      </c>
      <c r="E44" s="5">
        <v>0</v>
      </c>
      <c r="F44" s="6">
        <f t="shared" si="1"/>
        <v>0</v>
      </c>
      <c r="G44" s="7">
        <v>191.9106517711331</v>
      </c>
      <c r="H44" s="7">
        <v>140.00365249999999</v>
      </c>
      <c r="I44" s="7">
        <v>490.16623980000008</v>
      </c>
      <c r="J44" s="7">
        <v>536.09758969999984</v>
      </c>
      <c r="K44" s="7">
        <v>598.32203992999996</v>
      </c>
      <c r="L44" s="7">
        <v>686.608428</v>
      </c>
      <c r="M44" s="8" t="str">
        <f>IF(AND(J44&lt;=วิธีทดสอบและเกณฑ์!$B$17,F44&lt;=วิธีทดสอบและเกณฑ์!$B$19),"ผ่าน","ไม่ผ่าน")</f>
        <v>ผ่าน</v>
      </c>
    </row>
    <row r="45" spans="1:13" x14ac:dyDescent="0.3">
      <c r="A45" s="4" t="s">
        <v>120</v>
      </c>
      <c r="B45" s="4" t="s">
        <v>109</v>
      </c>
      <c r="C45" s="4" t="s">
        <v>110</v>
      </c>
      <c r="D45" s="5">
        <v>2224</v>
      </c>
      <c r="E45" s="5">
        <v>0</v>
      </c>
      <c r="F45" s="6">
        <f t="shared" si="1"/>
        <v>0</v>
      </c>
      <c r="G45" s="7">
        <v>281.48648030935249</v>
      </c>
      <c r="H45" s="7">
        <v>206.71602300000001</v>
      </c>
      <c r="I45" s="7">
        <v>716.56763160000014</v>
      </c>
      <c r="J45" s="7">
        <v>789.67140459999996</v>
      </c>
      <c r="K45" s="7">
        <v>888.54649555999993</v>
      </c>
      <c r="L45" s="7">
        <v>971.04698599999995</v>
      </c>
      <c r="M45" s="8" t="str">
        <f>IF(AND(J45&lt;=วิธีทดสอบและเกณฑ์!$B$17,F45&lt;=วิธีทดสอบและเกณฑ์!$B$19),"ผ่าน","ไม่ผ่าน")</f>
        <v>ผ่าน</v>
      </c>
    </row>
    <row r="46" spans="1:13" x14ac:dyDescent="0.3">
      <c r="A46" s="4" t="s">
        <v>120</v>
      </c>
      <c r="B46" s="4" t="s">
        <v>111</v>
      </c>
      <c r="C46" s="4" t="s">
        <v>112</v>
      </c>
      <c r="D46" s="5">
        <v>2224</v>
      </c>
      <c r="E46" s="5">
        <v>0</v>
      </c>
      <c r="F46" s="6">
        <f t="shared" si="1"/>
        <v>0</v>
      </c>
      <c r="G46" s="7">
        <v>674.60053671447838</v>
      </c>
      <c r="H46" s="7">
        <v>474.74087050000003</v>
      </c>
      <c r="I46" s="7">
        <v>1711.5849191</v>
      </c>
      <c r="J46" s="7">
        <v>1863.8924394000001</v>
      </c>
      <c r="K46" s="7">
        <v>2021.2485582199999</v>
      </c>
      <c r="L46" s="7">
        <v>2097.0434479999999</v>
      </c>
      <c r="M46" s="8" t="str">
        <f>IF(AND(J46&lt;=วิธีทดสอบและเกณฑ์!$B$17,F46&lt;=วิธีทดสอบและเกณฑ์!$B$19),"ผ่าน","ไม่ผ่าน")</f>
        <v>ไม่ผ่าน</v>
      </c>
    </row>
    <row r="47" spans="1:13" x14ac:dyDescent="0.3">
      <c r="A47" s="4" t="s">
        <v>120</v>
      </c>
      <c r="B47" s="4" t="s">
        <v>113</v>
      </c>
      <c r="C47" s="4" t="s">
        <v>114</v>
      </c>
      <c r="D47" s="5">
        <v>2224</v>
      </c>
      <c r="E47" s="5">
        <v>0</v>
      </c>
      <c r="F47" s="6">
        <f t="shared" si="1"/>
        <v>0</v>
      </c>
      <c r="G47" s="7">
        <v>590.79084598066549</v>
      </c>
      <c r="H47" s="7">
        <v>436.72439350000002</v>
      </c>
      <c r="I47" s="7">
        <v>1469.4321258</v>
      </c>
      <c r="J47" s="7">
        <v>1625.3608417999999</v>
      </c>
      <c r="K47" s="7">
        <v>1746.67661658</v>
      </c>
      <c r="L47" s="7">
        <v>1826.312308</v>
      </c>
      <c r="M47" s="8" t="str">
        <f>IF(AND(J47&lt;=วิธีทดสอบและเกณฑ์!$B$17,F47&lt;=วิธีทดสอบและเกณฑ์!$B$19),"ผ่าน","ไม่ผ่าน")</f>
        <v>ไม่ผ่าน</v>
      </c>
    </row>
    <row r="48" spans="1:13" x14ac:dyDescent="0.3">
      <c r="A48" s="4" t="s">
        <v>120</v>
      </c>
      <c r="B48" s="4" t="s">
        <v>115</v>
      </c>
      <c r="C48" s="4" t="s">
        <v>116</v>
      </c>
      <c r="D48" s="5">
        <v>2224</v>
      </c>
      <c r="E48" s="5">
        <v>0</v>
      </c>
      <c r="F48" s="6">
        <f t="shared" si="1"/>
        <v>0</v>
      </c>
      <c r="G48" s="7">
        <v>374.85942620323738</v>
      </c>
      <c r="H48" s="7">
        <v>264.73659400000003</v>
      </c>
      <c r="I48" s="7">
        <v>960.14014180000004</v>
      </c>
      <c r="J48" s="7">
        <v>1059.4875393499999</v>
      </c>
      <c r="K48" s="7">
        <v>1169.47008319</v>
      </c>
      <c r="L48" s="7">
        <v>1260.986582</v>
      </c>
      <c r="M48" s="8" t="str">
        <f>IF(AND(J48&lt;=วิธีทดสอบและเกณฑ์!$B$17,F48&lt;=วิธีทดสอบและเกณฑ์!$B$19),"ผ่าน","ไม่ผ่าน")</f>
        <v>ไม่ผ่าน</v>
      </c>
    </row>
    <row r="49" spans="1:13" x14ac:dyDescent="0.3">
      <c r="A49" s="4" t="s">
        <v>120</v>
      </c>
      <c r="B49" s="4" t="s">
        <v>117</v>
      </c>
      <c r="C49" s="4" t="s">
        <v>118</v>
      </c>
      <c r="D49" s="5">
        <v>2224</v>
      </c>
      <c r="E49" s="5">
        <v>0</v>
      </c>
      <c r="F49" s="6">
        <f t="shared" si="1"/>
        <v>0</v>
      </c>
      <c r="G49" s="7">
        <v>380.91318794334529</v>
      </c>
      <c r="H49" s="7">
        <v>277.8603415</v>
      </c>
      <c r="I49" s="7">
        <v>956.09798390000003</v>
      </c>
      <c r="J49" s="7">
        <v>1060.94135495</v>
      </c>
      <c r="K49" s="7">
        <v>1186.40416609</v>
      </c>
      <c r="L49" s="7">
        <v>1254.70991</v>
      </c>
      <c r="M49" s="8" t="str">
        <f>IF(AND(J49&lt;=วิธีทดสอบและเกณฑ์!$B$17,F49&lt;=วิธีทดสอบและเกณฑ์!$B$19),"ผ่าน","ไม่ผ่าน")</f>
        <v>ไม่ผ่าน</v>
      </c>
    </row>
    <row r="50" spans="1:13" x14ac:dyDescent="0.3">
      <c r="A50" s="4" t="s">
        <v>121</v>
      </c>
      <c r="B50" s="4" t="s">
        <v>89</v>
      </c>
      <c r="C50" s="4" t="s">
        <v>90</v>
      </c>
      <c r="D50" s="5">
        <v>2145</v>
      </c>
      <c r="E50" s="5">
        <v>0</v>
      </c>
      <c r="F50" s="6">
        <f t="shared" si="1"/>
        <v>0</v>
      </c>
      <c r="G50" s="7">
        <v>446.71824754079262</v>
      </c>
      <c r="H50" s="7">
        <v>512.67149900000004</v>
      </c>
      <c r="I50" s="7">
        <v>585.99506699999995</v>
      </c>
      <c r="J50" s="7">
        <v>603.71863139999994</v>
      </c>
      <c r="K50" s="7">
        <v>635.02785519999986</v>
      </c>
      <c r="L50" s="7">
        <v>666.72918900000002</v>
      </c>
      <c r="M50" s="8" t="str">
        <f>IF(AND(J50&lt;=วิธีทดสอบและเกณฑ์!$B$17,F50&lt;=วิธีทดสอบและเกณฑ์!$B$19),"ผ่าน","ไม่ผ่าน")</f>
        <v>ผ่าน</v>
      </c>
    </row>
    <row r="51" spans="1:13" x14ac:dyDescent="0.3">
      <c r="A51" s="4" t="s">
        <v>121</v>
      </c>
      <c r="B51" s="4" t="s">
        <v>91</v>
      </c>
      <c r="C51" s="4" t="s">
        <v>92</v>
      </c>
      <c r="D51" s="5">
        <v>2145</v>
      </c>
      <c r="E51" s="5">
        <v>0</v>
      </c>
      <c r="F51" s="6">
        <f t="shared" si="1"/>
        <v>0</v>
      </c>
      <c r="G51" s="7">
        <v>445.87833500839162</v>
      </c>
      <c r="H51" s="7">
        <v>511.72499299999998</v>
      </c>
      <c r="I51" s="7">
        <v>586.59500519999995</v>
      </c>
      <c r="J51" s="7">
        <v>604.37215299999991</v>
      </c>
      <c r="K51" s="7">
        <v>634.26370364000002</v>
      </c>
      <c r="L51" s="7">
        <v>665.10745899999995</v>
      </c>
      <c r="M51" s="8" t="str">
        <f>IF(AND(J51&lt;=วิธีทดสอบและเกณฑ์!$B$17,F51&lt;=วิธีทดสอบและเกณฑ์!$B$19),"ผ่าน","ไม่ผ่าน")</f>
        <v>ผ่าน</v>
      </c>
    </row>
    <row r="52" spans="1:13" x14ac:dyDescent="0.3">
      <c r="A52" s="4" t="s">
        <v>121</v>
      </c>
      <c r="B52" s="4" t="s">
        <v>93</v>
      </c>
      <c r="C52" s="4" t="s">
        <v>94</v>
      </c>
      <c r="D52" s="5">
        <v>2145</v>
      </c>
      <c r="E52" s="5">
        <v>0</v>
      </c>
      <c r="F52" s="6">
        <f t="shared" si="1"/>
        <v>0</v>
      </c>
      <c r="G52" s="7">
        <v>446.08858807272719</v>
      </c>
      <c r="H52" s="7">
        <v>511.92243200000001</v>
      </c>
      <c r="I52" s="7">
        <v>585.42653660000008</v>
      </c>
      <c r="J52" s="7">
        <v>602.21002299999998</v>
      </c>
      <c r="K52" s="7">
        <v>638.60857291999992</v>
      </c>
      <c r="L52" s="7">
        <v>667.09658400000001</v>
      </c>
      <c r="M52" s="8" t="str">
        <f>IF(AND(J52&lt;=วิธีทดสอบและเกณฑ์!$B$17,F52&lt;=วิธีทดสอบและเกณฑ์!$B$19),"ผ่าน","ไม่ผ่าน")</f>
        <v>ผ่าน</v>
      </c>
    </row>
    <row r="53" spans="1:13" x14ac:dyDescent="0.3">
      <c r="A53" s="4" t="s">
        <v>121</v>
      </c>
      <c r="B53" s="4" t="s">
        <v>95</v>
      </c>
      <c r="C53" s="4" t="s">
        <v>96</v>
      </c>
      <c r="D53" s="5">
        <v>2145</v>
      </c>
      <c r="E53" s="5">
        <v>0</v>
      </c>
      <c r="F53" s="6">
        <f t="shared" si="1"/>
        <v>0</v>
      </c>
      <c r="G53" s="7">
        <v>447.53543781165502</v>
      </c>
      <c r="H53" s="7">
        <v>513.37734399999999</v>
      </c>
      <c r="I53" s="7">
        <v>589.52270139999996</v>
      </c>
      <c r="J53" s="7">
        <v>604.89579479999998</v>
      </c>
      <c r="K53" s="7">
        <v>632.85574955999994</v>
      </c>
      <c r="L53" s="7">
        <v>662.844021</v>
      </c>
      <c r="M53" s="8" t="str">
        <f>IF(AND(J53&lt;=วิธีทดสอบและเกณฑ์!$B$17,F53&lt;=วิธีทดสอบและเกณฑ์!$B$19),"ผ่าน","ไม่ผ่าน")</f>
        <v>ผ่าน</v>
      </c>
    </row>
    <row r="54" spans="1:13" x14ac:dyDescent="0.3">
      <c r="A54" s="4" t="s">
        <v>121</v>
      </c>
      <c r="B54" s="4" t="s">
        <v>97</v>
      </c>
      <c r="C54" s="4" t="s">
        <v>98</v>
      </c>
      <c r="D54" s="5">
        <v>677</v>
      </c>
      <c r="E54" s="5">
        <v>0</v>
      </c>
      <c r="F54" s="6">
        <f t="shared" si="1"/>
        <v>0</v>
      </c>
      <c r="G54" s="7">
        <v>786.20938528508123</v>
      </c>
      <c r="H54" s="7">
        <v>984.20654999999999</v>
      </c>
      <c r="I54" s="7">
        <v>1141.2580379999999</v>
      </c>
      <c r="J54" s="7">
        <v>1178.8002194000001</v>
      </c>
      <c r="K54" s="7">
        <v>1217.62886776</v>
      </c>
      <c r="L54" s="7">
        <v>1242.6796730000001</v>
      </c>
      <c r="M54" s="8" t="str">
        <f>IF(AND(J54&lt;=วิธีทดสอบและเกณฑ์!$B$17,F54&lt;=วิธีทดสอบและเกณฑ์!$B$19),"ผ่าน","ไม่ผ่าน")</f>
        <v>ไม่ผ่าน</v>
      </c>
    </row>
    <row r="55" spans="1:13" x14ac:dyDescent="0.3">
      <c r="A55" s="4" t="s">
        <v>121</v>
      </c>
      <c r="B55" s="4" t="s">
        <v>99</v>
      </c>
      <c r="C55" s="4" t="s">
        <v>100</v>
      </c>
      <c r="D55" s="5">
        <v>677</v>
      </c>
      <c r="E55" s="5">
        <v>0</v>
      </c>
      <c r="F55" s="6">
        <f t="shared" si="1"/>
        <v>0</v>
      </c>
      <c r="G55" s="7">
        <v>596.31480857607096</v>
      </c>
      <c r="H55" s="7">
        <v>735.69840899999997</v>
      </c>
      <c r="I55" s="7">
        <v>860.76197920000004</v>
      </c>
      <c r="J55" s="7">
        <v>880.70276120000005</v>
      </c>
      <c r="K55" s="7">
        <v>919.3334961600001</v>
      </c>
      <c r="L55" s="7">
        <v>957.72723299999996</v>
      </c>
      <c r="M55" s="8" t="str">
        <f>IF(AND(J55&lt;=วิธีทดสอบและเกณฑ์!$B$17,F55&lt;=วิธีทดสอบและเกณฑ์!$B$19),"ผ่าน","ไม่ผ่าน")</f>
        <v>ไม่ผ่าน</v>
      </c>
    </row>
    <row r="56" spans="1:13" x14ac:dyDescent="0.3">
      <c r="A56" s="4" t="s">
        <v>121</v>
      </c>
      <c r="B56" s="4" t="s">
        <v>101</v>
      </c>
      <c r="C56" s="4" t="s">
        <v>102</v>
      </c>
      <c r="D56" s="5">
        <v>677</v>
      </c>
      <c r="E56" s="5">
        <v>0</v>
      </c>
      <c r="F56" s="6">
        <f t="shared" si="1"/>
        <v>0</v>
      </c>
      <c r="G56" s="7">
        <v>591.72802353175769</v>
      </c>
      <c r="H56" s="7">
        <v>737.21111800000006</v>
      </c>
      <c r="I56" s="7">
        <v>857.98451519999992</v>
      </c>
      <c r="J56" s="7">
        <v>883.39233899999999</v>
      </c>
      <c r="K56" s="7">
        <v>924.37834440000006</v>
      </c>
      <c r="L56" s="7">
        <v>959.13412500000004</v>
      </c>
      <c r="M56" s="8" t="str">
        <f>IF(AND(J56&lt;=วิธีทดสอบและเกณฑ์!$B$17,F56&lt;=วิธีทดสอบและเกณฑ์!$B$19),"ผ่าน","ไม่ผ่าน")</f>
        <v>ไม่ผ่าน</v>
      </c>
    </row>
    <row r="57" spans="1:13" x14ac:dyDescent="0.3">
      <c r="A57" s="4" t="s">
        <v>121</v>
      </c>
      <c r="B57" s="4" t="s">
        <v>103</v>
      </c>
      <c r="C57" s="4" t="s">
        <v>104</v>
      </c>
      <c r="D57" s="5">
        <v>677</v>
      </c>
      <c r="E57" s="5">
        <v>0</v>
      </c>
      <c r="F57" s="6">
        <f t="shared" si="1"/>
        <v>0</v>
      </c>
      <c r="G57" s="7">
        <v>583.59320852880353</v>
      </c>
      <c r="H57" s="7">
        <v>729.51157799999999</v>
      </c>
      <c r="I57" s="7">
        <v>865.66345639999997</v>
      </c>
      <c r="J57" s="7">
        <v>885.30287859999999</v>
      </c>
      <c r="K57" s="7">
        <v>919.05709407999996</v>
      </c>
      <c r="L57" s="7">
        <v>949.96236499999998</v>
      </c>
      <c r="M57" s="8" t="str">
        <f>IF(AND(J57&lt;=วิธีทดสอบและเกณฑ์!$B$17,F57&lt;=วิธีทดสอบและเกณฑ์!$B$19),"ผ่าน","ไม่ผ่าน")</f>
        <v>ไม่ผ่าน</v>
      </c>
    </row>
    <row r="58" spans="1:13" x14ac:dyDescent="0.3">
      <c r="A58" s="4" t="s">
        <v>121</v>
      </c>
      <c r="B58" s="4" t="s">
        <v>105</v>
      </c>
      <c r="C58" s="4" t="s">
        <v>106</v>
      </c>
      <c r="D58" s="5">
        <v>677</v>
      </c>
      <c r="E58" s="5">
        <v>0</v>
      </c>
      <c r="F58" s="6">
        <f t="shared" si="1"/>
        <v>0</v>
      </c>
      <c r="G58" s="7">
        <v>619.39129640029546</v>
      </c>
      <c r="H58" s="7">
        <v>772.37636299999997</v>
      </c>
      <c r="I58" s="7">
        <v>892.94710320000002</v>
      </c>
      <c r="J58" s="7">
        <v>915.69644940000001</v>
      </c>
      <c r="K58" s="7">
        <v>935.86696012000004</v>
      </c>
      <c r="L58" s="7">
        <v>955.479466</v>
      </c>
      <c r="M58" s="8" t="str">
        <f>IF(AND(J58&lt;=วิธีทดสอบและเกณฑ์!$B$17,F58&lt;=วิธีทดสอบและเกณฑ์!$B$19),"ผ่าน","ไม่ผ่าน")</f>
        <v>ไม่ผ่าน</v>
      </c>
    </row>
    <row r="59" spans="1:13" x14ac:dyDescent="0.3">
      <c r="A59" s="4" t="s">
        <v>121</v>
      </c>
      <c r="B59" s="4" t="s">
        <v>107</v>
      </c>
      <c r="C59" s="4" t="s">
        <v>108</v>
      </c>
      <c r="D59" s="5">
        <v>677</v>
      </c>
      <c r="E59" s="5">
        <v>0</v>
      </c>
      <c r="F59" s="6">
        <f t="shared" si="1"/>
        <v>0</v>
      </c>
      <c r="G59" s="7">
        <v>394.35725642983749</v>
      </c>
      <c r="H59" s="7">
        <v>483.885783</v>
      </c>
      <c r="I59" s="7">
        <v>582.46827499999995</v>
      </c>
      <c r="J59" s="7">
        <v>601.49348680000003</v>
      </c>
      <c r="K59" s="7">
        <v>625.66975728</v>
      </c>
      <c r="L59" s="7">
        <v>662.76711999999998</v>
      </c>
      <c r="M59" s="8" t="str">
        <f>IF(AND(J59&lt;=วิธีทดสอบและเกณฑ์!$B$17,F59&lt;=วิธีทดสอบและเกณฑ์!$B$19),"ผ่าน","ไม่ผ่าน")</f>
        <v>ผ่าน</v>
      </c>
    </row>
    <row r="60" spans="1:13" x14ac:dyDescent="0.3">
      <c r="A60" s="4" t="s">
        <v>121</v>
      </c>
      <c r="B60" s="4" t="s">
        <v>109</v>
      </c>
      <c r="C60" s="4" t="s">
        <v>110</v>
      </c>
      <c r="D60" s="5">
        <v>677</v>
      </c>
      <c r="E60" s="5">
        <v>0</v>
      </c>
      <c r="F60" s="6">
        <f t="shared" si="1"/>
        <v>0</v>
      </c>
      <c r="G60" s="7">
        <v>594.97953424815364</v>
      </c>
      <c r="H60" s="7">
        <v>738.22890900000004</v>
      </c>
      <c r="I60" s="7">
        <v>860.54942719999997</v>
      </c>
      <c r="J60" s="7">
        <v>872.51194859999998</v>
      </c>
      <c r="K60" s="7">
        <v>923.62905644</v>
      </c>
      <c r="L60" s="7">
        <v>952.13525100000004</v>
      </c>
      <c r="M60" s="8" t="str">
        <f>IF(AND(J60&lt;=วิธีทดสอบและเกณฑ์!$B$17,F60&lt;=วิธีทดสอบและเกณฑ์!$B$19),"ผ่าน","ไม่ผ่าน")</f>
        <v>ไม่ผ่าน</v>
      </c>
    </row>
    <row r="61" spans="1:13" x14ac:dyDescent="0.3">
      <c r="A61" s="4" t="s">
        <v>121</v>
      </c>
      <c r="B61" s="4" t="s">
        <v>111</v>
      </c>
      <c r="C61" s="4" t="s">
        <v>112</v>
      </c>
      <c r="D61" s="5">
        <v>677</v>
      </c>
      <c r="E61" s="5">
        <v>0</v>
      </c>
      <c r="F61" s="6">
        <f t="shared" si="1"/>
        <v>0</v>
      </c>
      <c r="G61" s="7">
        <v>1448.444781082718</v>
      </c>
      <c r="H61" s="7">
        <v>1817.129756</v>
      </c>
      <c r="I61" s="7">
        <v>2021.2851731999999</v>
      </c>
      <c r="J61" s="7">
        <v>2051.8866972000001</v>
      </c>
      <c r="K61" s="7">
        <v>2109.62475184</v>
      </c>
      <c r="L61" s="7">
        <v>2140.9381859999999</v>
      </c>
      <c r="M61" s="8" t="str">
        <f>IF(AND(J61&lt;=วิธีทดสอบและเกณฑ์!$B$17,F61&lt;=วิธีทดสอบและเกณฑ์!$B$19),"ผ่าน","ไม่ผ่าน")</f>
        <v>ไม่ผ่าน</v>
      </c>
    </row>
    <row r="62" spans="1:13" x14ac:dyDescent="0.3">
      <c r="A62" s="4" t="s">
        <v>121</v>
      </c>
      <c r="B62" s="4" t="s">
        <v>113</v>
      </c>
      <c r="C62" s="4" t="s">
        <v>114</v>
      </c>
      <c r="D62" s="5">
        <v>677</v>
      </c>
      <c r="E62" s="5">
        <v>0</v>
      </c>
      <c r="F62" s="6">
        <f t="shared" si="1"/>
        <v>0</v>
      </c>
      <c r="G62" s="7">
        <v>1244.314009552437</v>
      </c>
      <c r="H62" s="7">
        <v>1545.7969900000001</v>
      </c>
      <c r="I62" s="7">
        <v>1733.1774564</v>
      </c>
      <c r="J62" s="7">
        <v>1773.7036275999999</v>
      </c>
      <c r="K62" s="7">
        <v>1838.8536108799999</v>
      </c>
      <c r="L62" s="7">
        <v>1870.4946130000001</v>
      </c>
      <c r="M62" s="8" t="str">
        <f>IF(AND(J62&lt;=วิธีทดสอบและเกณฑ์!$B$17,F62&lt;=วิธีทดสอบและเกณฑ์!$B$19),"ผ่าน","ไม่ผ่าน")</f>
        <v>ไม่ผ่าน</v>
      </c>
    </row>
    <row r="63" spans="1:13" x14ac:dyDescent="0.3">
      <c r="A63" s="4" t="s">
        <v>121</v>
      </c>
      <c r="B63" s="4" t="s">
        <v>115</v>
      </c>
      <c r="C63" s="4" t="s">
        <v>116</v>
      </c>
      <c r="D63" s="5">
        <v>677</v>
      </c>
      <c r="E63" s="5">
        <v>0</v>
      </c>
      <c r="F63" s="6">
        <f t="shared" si="1"/>
        <v>0</v>
      </c>
      <c r="G63" s="7">
        <v>814.38734206942388</v>
      </c>
      <c r="H63" s="7">
        <v>1023.1772570000001</v>
      </c>
      <c r="I63" s="7">
        <v>1161.3015723999999</v>
      </c>
      <c r="J63" s="7">
        <v>1183.2008011999999</v>
      </c>
      <c r="K63" s="7">
        <v>1219.7341582399999</v>
      </c>
      <c r="L63" s="7">
        <v>1234.322449</v>
      </c>
      <c r="M63" s="8" t="str">
        <f>IF(AND(J63&lt;=วิธีทดสอบและเกณฑ์!$B$17,F63&lt;=วิธีทดสอบและเกณฑ์!$B$19),"ผ่าน","ไม่ผ่าน")</f>
        <v>ไม่ผ่าน</v>
      </c>
    </row>
    <row r="64" spans="1:13" x14ac:dyDescent="0.3">
      <c r="A64" s="4" t="s">
        <v>121</v>
      </c>
      <c r="B64" s="4" t="s">
        <v>117</v>
      </c>
      <c r="C64" s="4" t="s">
        <v>118</v>
      </c>
      <c r="D64" s="5">
        <v>677</v>
      </c>
      <c r="E64" s="5">
        <v>0</v>
      </c>
      <c r="F64" s="6">
        <f t="shared" si="1"/>
        <v>0</v>
      </c>
      <c r="G64" s="7">
        <v>807.37332051994088</v>
      </c>
      <c r="H64" s="7">
        <v>1002.091799</v>
      </c>
      <c r="I64" s="7">
        <v>1144.2365454000001</v>
      </c>
      <c r="J64" s="7">
        <v>1178.855924</v>
      </c>
      <c r="K64" s="7">
        <v>1233.0186873600001</v>
      </c>
      <c r="L64" s="7">
        <v>1238.6704689999999</v>
      </c>
      <c r="M64" s="8" t="str">
        <f>IF(AND(J64&lt;=วิธีทดสอบและเกณฑ์!$B$17,F64&lt;=วิธีทดสอบและเกณฑ์!$B$19),"ผ่าน","ไม่ผ่าน")</f>
        <v>ไม่ผ่าน</v>
      </c>
    </row>
    <row r="65" spans="1:13" x14ac:dyDescent="0.3">
      <c r="A65" s="4" t="s">
        <v>122</v>
      </c>
      <c r="B65" s="4" t="s">
        <v>123</v>
      </c>
      <c r="C65" s="4" t="s">
        <v>124</v>
      </c>
      <c r="D65" s="5">
        <v>216</v>
      </c>
      <c r="E65" s="5">
        <v>0</v>
      </c>
      <c r="F65" s="6">
        <f t="shared" si="1"/>
        <v>0</v>
      </c>
      <c r="G65" s="7">
        <v>1771.441164180555</v>
      </c>
      <c r="H65" s="7">
        <v>1722.8186235000001</v>
      </c>
      <c r="I65" s="7">
        <v>2024.5716890000001</v>
      </c>
      <c r="J65" s="7">
        <v>2155.2895262500001</v>
      </c>
      <c r="K65" s="7">
        <v>2775.3355574500001</v>
      </c>
      <c r="L65" s="7">
        <v>2812.7261659999999</v>
      </c>
      <c r="M65" s="8" t="str">
        <f>IF(AND(J65&lt;=วิธีทดสอบและเกณฑ์!$B$18,F65&lt;=วิธีทดสอบและเกณฑ์!$B$19),"ผ่าน","ไม่ผ่าน")</f>
        <v>ผ่าน</v>
      </c>
    </row>
  </sheetData>
  <autoFilter ref="A4:M65" xr:uid="{00000000-0009-0000-0000-000002000000}"/>
  <conditionalFormatting sqref="M5:M65">
    <cfRule type="cellIs" dxfId="4" priority="1" operator="equal">
      <formula>"ผ่าน"</formula>
    </cfRule>
    <cfRule type="cellIs" dxfId="3" priority="2" operator="equal">
      <formula>"ไม่ผ่าน"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4ED8"/>
  </sheetPr>
  <dimension ref="A1:G66"/>
  <sheetViews>
    <sheetView showGridLines="0" workbookViewId="0"/>
  </sheetViews>
  <sheetFormatPr defaultRowHeight="14.4" x14ac:dyDescent="0.3"/>
  <cols>
    <col min="1" max="2" width="10" customWidth="1"/>
    <col min="3" max="3" width="13" customWidth="1"/>
    <col min="4" max="4" width="10" customWidth="1"/>
    <col min="5" max="5" width="12" customWidth="1"/>
    <col min="6" max="6" width="11" customWidth="1"/>
    <col min="7" max="7" width="10" customWidth="1"/>
  </cols>
  <sheetData>
    <row r="1" spans="1:7" ht="17.399999999999999" x14ac:dyDescent="0.3">
      <c r="A1" s="1" t="s">
        <v>125</v>
      </c>
    </row>
    <row r="2" spans="1:7" x14ac:dyDescent="0.3">
      <c r="A2" s="2" t="s">
        <v>126</v>
      </c>
    </row>
    <row r="4" spans="1:7" ht="31.95" customHeight="1" x14ac:dyDescent="0.3">
      <c r="A4" s="3" t="s">
        <v>2</v>
      </c>
      <c r="B4" s="3" t="s">
        <v>127</v>
      </c>
      <c r="C4" s="3" t="s">
        <v>128</v>
      </c>
      <c r="D4" s="3" t="s">
        <v>129</v>
      </c>
      <c r="E4" s="3" t="s">
        <v>8</v>
      </c>
      <c r="F4" s="3" t="s">
        <v>130</v>
      </c>
      <c r="G4" s="3" t="s">
        <v>131</v>
      </c>
    </row>
    <row r="5" spans="1:7" x14ac:dyDescent="0.3">
      <c r="A5" s="4" t="s">
        <v>119</v>
      </c>
      <c r="B5" s="5">
        <v>0</v>
      </c>
      <c r="C5" s="5">
        <v>10</v>
      </c>
      <c r="D5" s="5">
        <v>213</v>
      </c>
      <c r="E5" s="7">
        <f t="shared" ref="E5:E22" si="0">D5/15</f>
        <v>14.2</v>
      </c>
      <c r="F5" s="7">
        <v>57.820607600000002</v>
      </c>
      <c r="G5" s="6">
        <f t="shared" ref="G5:G22" si="1">IF(D5=0,0,0/D5)</f>
        <v>0</v>
      </c>
    </row>
    <row r="6" spans="1:7" x14ac:dyDescent="0.3">
      <c r="A6" s="4" t="s">
        <v>119</v>
      </c>
      <c r="B6" s="5">
        <v>15</v>
      </c>
      <c r="C6" s="5">
        <v>20</v>
      </c>
      <c r="D6" s="5">
        <v>543</v>
      </c>
      <c r="E6" s="7">
        <f t="shared" si="0"/>
        <v>36.200000000000003</v>
      </c>
      <c r="F6" s="7">
        <v>55.122363399999998</v>
      </c>
      <c r="G6" s="6">
        <f t="shared" si="1"/>
        <v>0</v>
      </c>
    </row>
    <row r="7" spans="1:7" x14ac:dyDescent="0.3">
      <c r="A7" s="4" t="s">
        <v>119</v>
      </c>
      <c r="B7" s="5">
        <v>30</v>
      </c>
      <c r="C7" s="5">
        <v>30</v>
      </c>
      <c r="D7" s="5">
        <v>876</v>
      </c>
      <c r="E7" s="7">
        <f t="shared" si="0"/>
        <v>58.4</v>
      </c>
      <c r="F7" s="7">
        <v>49.962462000000002</v>
      </c>
      <c r="G7" s="6">
        <f t="shared" si="1"/>
        <v>0</v>
      </c>
    </row>
    <row r="8" spans="1:7" x14ac:dyDescent="0.3">
      <c r="A8" s="4" t="s">
        <v>119</v>
      </c>
      <c r="B8" s="5">
        <v>45</v>
      </c>
      <c r="C8" s="5">
        <v>40</v>
      </c>
      <c r="D8" s="5">
        <v>1185</v>
      </c>
      <c r="E8" s="7">
        <f t="shared" si="0"/>
        <v>79</v>
      </c>
      <c r="F8" s="7">
        <v>51.919729400000001</v>
      </c>
      <c r="G8" s="6">
        <f t="shared" si="1"/>
        <v>0</v>
      </c>
    </row>
    <row r="9" spans="1:7" x14ac:dyDescent="0.3">
      <c r="A9" s="4" t="s">
        <v>119</v>
      </c>
      <c r="B9" s="5">
        <v>60</v>
      </c>
      <c r="C9" s="5">
        <v>40</v>
      </c>
      <c r="D9" s="5">
        <v>1389</v>
      </c>
      <c r="E9" s="7">
        <f t="shared" si="0"/>
        <v>92.6</v>
      </c>
      <c r="F9" s="7">
        <v>52.861275599999978</v>
      </c>
      <c r="G9" s="6">
        <f t="shared" si="1"/>
        <v>0</v>
      </c>
    </row>
    <row r="10" spans="1:7" x14ac:dyDescent="0.3">
      <c r="A10" s="4" t="s">
        <v>119</v>
      </c>
      <c r="B10" s="5">
        <v>75</v>
      </c>
      <c r="C10" s="5">
        <v>40</v>
      </c>
      <c r="D10" s="5">
        <v>1340</v>
      </c>
      <c r="E10" s="7">
        <f t="shared" si="0"/>
        <v>89.333333333333329</v>
      </c>
      <c r="F10" s="7">
        <v>53.605467699999991</v>
      </c>
      <c r="G10" s="6">
        <f t="shared" si="1"/>
        <v>0</v>
      </c>
    </row>
    <row r="11" spans="1:7" x14ac:dyDescent="0.3">
      <c r="A11" s="4" t="s">
        <v>119</v>
      </c>
      <c r="B11" s="5">
        <v>90</v>
      </c>
      <c r="C11" s="5">
        <v>40</v>
      </c>
      <c r="D11" s="5">
        <v>1352</v>
      </c>
      <c r="E11" s="7">
        <f t="shared" si="0"/>
        <v>90.13333333333334</v>
      </c>
      <c r="F11" s="7">
        <v>57.904181300000012</v>
      </c>
      <c r="G11" s="6">
        <f t="shared" si="1"/>
        <v>0</v>
      </c>
    </row>
    <row r="12" spans="1:7" x14ac:dyDescent="0.3">
      <c r="A12" s="4" t="s">
        <v>119</v>
      </c>
      <c r="B12" s="5">
        <v>105</v>
      </c>
      <c r="C12" s="5">
        <v>40</v>
      </c>
      <c r="D12" s="5">
        <v>1365</v>
      </c>
      <c r="E12" s="7">
        <f t="shared" si="0"/>
        <v>91</v>
      </c>
      <c r="F12" s="7">
        <v>53.186146200000003</v>
      </c>
      <c r="G12" s="6">
        <f t="shared" si="1"/>
        <v>0</v>
      </c>
    </row>
    <row r="13" spans="1:7" x14ac:dyDescent="0.3">
      <c r="A13" s="4" t="s">
        <v>119</v>
      </c>
      <c r="B13" s="5">
        <v>120</v>
      </c>
      <c r="C13" s="5">
        <v>40</v>
      </c>
      <c r="D13" s="5">
        <v>1367</v>
      </c>
      <c r="E13" s="7">
        <f t="shared" si="0"/>
        <v>91.13333333333334</v>
      </c>
      <c r="F13" s="7">
        <v>51.4577046</v>
      </c>
      <c r="G13" s="6">
        <f t="shared" si="1"/>
        <v>0</v>
      </c>
    </row>
    <row r="14" spans="1:7" x14ac:dyDescent="0.3">
      <c r="A14" s="4" t="s">
        <v>119</v>
      </c>
      <c r="B14" s="5">
        <v>135</v>
      </c>
      <c r="C14" s="5">
        <v>40</v>
      </c>
      <c r="D14" s="5">
        <v>1362</v>
      </c>
      <c r="E14" s="7">
        <f t="shared" si="0"/>
        <v>90.8</v>
      </c>
      <c r="F14" s="7">
        <v>51.366566450000008</v>
      </c>
      <c r="G14" s="6">
        <f t="shared" si="1"/>
        <v>0</v>
      </c>
    </row>
    <row r="15" spans="1:7" x14ac:dyDescent="0.3">
      <c r="A15" s="4" t="s">
        <v>119</v>
      </c>
      <c r="B15" s="5">
        <v>150</v>
      </c>
      <c r="C15" s="5">
        <v>40</v>
      </c>
      <c r="D15" s="5">
        <v>1352</v>
      </c>
      <c r="E15" s="7">
        <f t="shared" si="0"/>
        <v>90.13333333333334</v>
      </c>
      <c r="F15" s="7">
        <v>52.654489949999999</v>
      </c>
      <c r="G15" s="6">
        <f t="shared" si="1"/>
        <v>0</v>
      </c>
    </row>
    <row r="16" spans="1:7" x14ac:dyDescent="0.3">
      <c r="A16" s="4" t="s">
        <v>119</v>
      </c>
      <c r="B16" s="5">
        <v>165</v>
      </c>
      <c r="C16" s="5">
        <v>40</v>
      </c>
      <c r="D16" s="5">
        <v>1343</v>
      </c>
      <c r="E16" s="7">
        <f t="shared" si="0"/>
        <v>89.533333333333331</v>
      </c>
      <c r="F16" s="7">
        <v>53.007396200000009</v>
      </c>
      <c r="G16" s="6">
        <f t="shared" si="1"/>
        <v>0</v>
      </c>
    </row>
    <row r="17" spans="1:7" x14ac:dyDescent="0.3">
      <c r="A17" s="4" t="s">
        <v>119</v>
      </c>
      <c r="B17" s="5">
        <v>180</v>
      </c>
      <c r="C17" s="5">
        <v>40</v>
      </c>
      <c r="D17" s="5">
        <v>1371</v>
      </c>
      <c r="E17" s="7">
        <f t="shared" si="0"/>
        <v>91.4</v>
      </c>
      <c r="F17" s="7">
        <v>54.2387625</v>
      </c>
      <c r="G17" s="6">
        <f t="shared" si="1"/>
        <v>0</v>
      </c>
    </row>
    <row r="18" spans="1:7" x14ac:dyDescent="0.3">
      <c r="A18" s="4" t="s">
        <v>119</v>
      </c>
      <c r="B18" s="5">
        <v>195</v>
      </c>
      <c r="C18" s="5">
        <v>40</v>
      </c>
      <c r="D18" s="5">
        <v>1355</v>
      </c>
      <c r="E18" s="7">
        <f t="shared" si="0"/>
        <v>90.333333333333329</v>
      </c>
      <c r="F18" s="7">
        <v>51.994705699999997</v>
      </c>
      <c r="G18" s="6">
        <f t="shared" si="1"/>
        <v>0</v>
      </c>
    </row>
    <row r="19" spans="1:7" x14ac:dyDescent="0.3">
      <c r="A19" s="4" t="s">
        <v>119</v>
      </c>
      <c r="B19" s="5">
        <v>210</v>
      </c>
      <c r="C19" s="5">
        <v>40</v>
      </c>
      <c r="D19" s="5">
        <v>1365</v>
      </c>
      <c r="E19" s="7">
        <f t="shared" si="0"/>
        <v>91</v>
      </c>
      <c r="F19" s="7">
        <v>55.235673199999987</v>
      </c>
      <c r="G19" s="6">
        <f t="shared" si="1"/>
        <v>0</v>
      </c>
    </row>
    <row r="20" spans="1:7" x14ac:dyDescent="0.3">
      <c r="A20" s="4" t="s">
        <v>119</v>
      </c>
      <c r="B20" s="5">
        <v>225</v>
      </c>
      <c r="C20" s="5">
        <v>40</v>
      </c>
      <c r="D20" s="5">
        <v>1318</v>
      </c>
      <c r="E20" s="7">
        <f t="shared" si="0"/>
        <v>87.86666666666666</v>
      </c>
      <c r="F20" s="7">
        <v>54.458883850000007</v>
      </c>
      <c r="G20" s="6">
        <f t="shared" si="1"/>
        <v>0</v>
      </c>
    </row>
    <row r="21" spans="1:7" x14ac:dyDescent="0.3">
      <c r="A21" s="4" t="s">
        <v>119</v>
      </c>
      <c r="B21" s="5">
        <v>240</v>
      </c>
      <c r="C21" s="5">
        <v>39</v>
      </c>
      <c r="D21" s="5">
        <v>960</v>
      </c>
      <c r="E21" s="7">
        <f t="shared" si="0"/>
        <v>64</v>
      </c>
      <c r="F21" s="7">
        <v>45.830017499999997</v>
      </c>
      <c r="G21" s="6">
        <f t="shared" si="1"/>
        <v>0</v>
      </c>
    </row>
    <row r="22" spans="1:7" x14ac:dyDescent="0.3">
      <c r="A22" s="4" t="s">
        <v>119</v>
      </c>
      <c r="B22" s="5">
        <v>255</v>
      </c>
      <c r="C22" s="5">
        <v>18</v>
      </c>
      <c r="D22" s="5">
        <v>317</v>
      </c>
      <c r="E22" s="7">
        <f t="shared" si="0"/>
        <v>21.133333333333333</v>
      </c>
      <c r="F22" s="7">
        <v>46.847273600000001</v>
      </c>
      <c r="G22" s="6">
        <f t="shared" si="1"/>
        <v>0</v>
      </c>
    </row>
    <row r="24" spans="1:7" x14ac:dyDescent="0.3">
      <c r="A24" s="4" t="s">
        <v>120</v>
      </c>
      <c r="B24" s="5">
        <v>0</v>
      </c>
      <c r="C24" s="5">
        <v>12</v>
      </c>
      <c r="D24" s="5">
        <v>263</v>
      </c>
      <c r="E24" s="7">
        <f t="shared" ref="E24:E41" si="2">D24/15</f>
        <v>17.533333333333335</v>
      </c>
      <c r="F24" s="7">
        <v>78.362765200000055</v>
      </c>
      <c r="G24" s="6">
        <f t="shared" ref="G24:G41" si="3">IF(D24=0,0,0/D24)</f>
        <v>0</v>
      </c>
    </row>
    <row r="25" spans="1:7" x14ac:dyDescent="0.3">
      <c r="A25" s="4" t="s">
        <v>120</v>
      </c>
      <c r="B25" s="5">
        <v>15</v>
      </c>
      <c r="C25" s="5">
        <v>26</v>
      </c>
      <c r="D25" s="5">
        <v>694</v>
      </c>
      <c r="E25" s="7">
        <f t="shared" si="2"/>
        <v>46.266666666666666</v>
      </c>
      <c r="F25" s="7">
        <v>35.167897100000033</v>
      </c>
      <c r="G25" s="6">
        <f t="shared" si="3"/>
        <v>0</v>
      </c>
    </row>
    <row r="26" spans="1:7" x14ac:dyDescent="0.3">
      <c r="A26" s="4" t="s">
        <v>120</v>
      </c>
      <c r="B26" s="5">
        <v>30</v>
      </c>
      <c r="C26" s="5">
        <v>38</v>
      </c>
      <c r="D26" s="5">
        <v>1102</v>
      </c>
      <c r="E26" s="7">
        <f t="shared" si="2"/>
        <v>73.466666666666669</v>
      </c>
      <c r="F26" s="7">
        <v>41.248356299999998</v>
      </c>
      <c r="G26" s="6">
        <f t="shared" si="3"/>
        <v>0</v>
      </c>
    </row>
    <row r="27" spans="1:7" x14ac:dyDescent="0.3">
      <c r="A27" s="4" t="s">
        <v>120</v>
      </c>
      <c r="B27" s="5">
        <v>45</v>
      </c>
      <c r="C27" s="5">
        <v>50</v>
      </c>
      <c r="D27" s="5">
        <v>1559</v>
      </c>
      <c r="E27" s="7">
        <f t="shared" si="2"/>
        <v>103.93333333333334</v>
      </c>
      <c r="F27" s="7">
        <v>41.627425499999987</v>
      </c>
      <c r="G27" s="6">
        <f t="shared" si="3"/>
        <v>0</v>
      </c>
    </row>
    <row r="28" spans="1:7" x14ac:dyDescent="0.3">
      <c r="A28" s="4" t="s">
        <v>120</v>
      </c>
      <c r="B28" s="5">
        <v>60</v>
      </c>
      <c r="C28" s="5">
        <v>62</v>
      </c>
      <c r="D28" s="5">
        <v>2018</v>
      </c>
      <c r="E28" s="7">
        <f t="shared" si="2"/>
        <v>134.53333333333333</v>
      </c>
      <c r="F28" s="7">
        <v>41.651970849999998</v>
      </c>
      <c r="G28" s="6">
        <f t="shared" si="3"/>
        <v>0</v>
      </c>
    </row>
    <row r="29" spans="1:7" x14ac:dyDescent="0.3">
      <c r="A29" s="4" t="s">
        <v>120</v>
      </c>
      <c r="B29" s="5">
        <v>75</v>
      </c>
      <c r="C29" s="5">
        <v>76</v>
      </c>
      <c r="D29" s="5">
        <v>2379</v>
      </c>
      <c r="E29" s="7">
        <f t="shared" si="2"/>
        <v>158.6</v>
      </c>
      <c r="F29" s="7">
        <v>42.504189199999992</v>
      </c>
      <c r="G29" s="6">
        <f t="shared" si="3"/>
        <v>0</v>
      </c>
    </row>
    <row r="30" spans="1:7" x14ac:dyDescent="0.3">
      <c r="A30" s="4" t="s">
        <v>120</v>
      </c>
      <c r="B30" s="5">
        <v>90</v>
      </c>
      <c r="C30" s="5">
        <v>88</v>
      </c>
      <c r="D30" s="5">
        <v>2760</v>
      </c>
      <c r="E30" s="7">
        <f t="shared" si="2"/>
        <v>184</v>
      </c>
      <c r="F30" s="7">
        <v>44.796591850000013</v>
      </c>
      <c r="G30" s="6">
        <f t="shared" si="3"/>
        <v>0</v>
      </c>
    </row>
    <row r="31" spans="1:7" x14ac:dyDescent="0.3">
      <c r="A31" s="4" t="s">
        <v>120</v>
      </c>
      <c r="B31" s="5">
        <v>105</v>
      </c>
      <c r="C31" s="5">
        <v>102</v>
      </c>
      <c r="D31" s="5">
        <v>2705</v>
      </c>
      <c r="E31" s="7">
        <f t="shared" si="2"/>
        <v>180.33333333333334</v>
      </c>
      <c r="F31" s="7">
        <v>443.33904620000021</v>
      </c>
      <c r="G31" s="6">
        <f t="shared" si="3"/>
        <v>0</v>
      </c>
    </row>
    <row r="32" spans="1:7" x14ac:dyDescent="0.3">
      <c r="A32" s="4" t="s">
        <v>120</v>
      </c>
      <c r="B32" s="5">
        <v>120</v>
      </c>
      <c r="C32" s="5">
        <v>126</v>
      </c>
      <c r="D32" s="5">
        <v>3633</v>
      </c>
      <c r="E32" s="7">
        <f t="shared" si="2"/>
        <v>242.2</v>
      </c>
      <c r="F32" s="7">
        <v>188.92309400000011</v>
      </c>
      <c r="G32" s="6">
        <f t="shared" si="3"/>
        <v>0</v>
      </c>
    </row>
    <row r="33" spans="1:7" x14ac:dyDescent="0.3">
      <c r="A33" s="4" t="s">
        <v>120</v>
      </c>
      <c r="B33" s="5">
        <v>135</v>
      </c>
      <c r="C33" s="5">
        <v>152</v>
      </c>
      <c r="D33" s="5">
        <v>3626</v>
      </c>
      <c r="E33" s="7">
        <f t="shared" si="2"/>
        <v>241.73333333333332</v>
      </c>
      <c r="F33" s="7">
        <v>352.92539599999998</v>
      </c>
      <c r="G33" s="6">
        <f t="shared" si="3"/>
        <v>0</v>
      </c>
    </row>
    <row r="34" spans="1:7" x14ac:dyDescent="0.3">
      <c r="A34" s="4" t="s">
        <v>120</v>
      </c>
      <c r="B34" s="5">
        <v>150</v>
      </c>
      <c r="C34" s="5">
        <v>176</v>
      </c>
      <c r="D34" s="5">
        <v>3735</v>
      </c>
      <c r="E34" s="7">
        <f t="shared" si="2"/>
        <v>249</v>
      </c>
      <c r="F34" s="7">
        <v>507.26671110000012</v>
      </c>
      <c r="G34" s="6">
        <f t="shared" si="3"/>
        <v>0</v>
      </c>
    </row>
    <row r="35" spans="1:7" x14ac:dyDescent="0.3">
      <c r="A35" s="4" t="s">
        <v>120</v>
      </c>
      <c r="B35" s="5">
        <v>165</v>
      </c>
      <c r="C35" s="5">
        <v>202</v>
      </c>
      <c r="D35" s="5">
        <v>3667</v>
      </c>
      <c r="E35" s="7">
        <f t="shared" si="2"/>
        <v>244.46666666666667</v>
      </c>
      <c r="F35" s="7">
        <v>755.47236199999963</v>
      </c>
      <c r="G35" s="6">
        <f t="shared" si="3"/>
        <v>0</v>
      </c>
    </row>
    <row r="36" spans="1:7" x14ac:dyDescent="0.3">
      <c r="A36" s="4" t="s">
        <v>120</v>
      </c>
      <c r="B36" s="5">
        <v>180</v>
      </c>
      <c r="C36" s="5">
        <v>226</v>
      </c>
      <c r="D36" s="5">
        <v>3686</v>
      </c>
      <c r="E36" s="7">
        <f t="shared" si="2"/>
        <v>245.73333333333332</v>
      </c>
      <c r="F36" s="7">
        <v>964.72348250000005</v>
      </c>
      <c r="G36" s="6">
        <f t="shared" si="3"/>
        <v>0</v>
      </c>
    </row>
    <row r="37" spans="1:7" x14ac:dyDescent="0.3">
      <c r="A37" s="4" t="s">
        <v>120</v>
      </c>
      <c r="B37" s="5">
        <v>195</v>
      </c>
      <c r="C37" s="5">
        <v>252</v>
      </c>
      <c r="D37" s="5">
        <v>3730</v>
      </c>
      <c r="E37" s="7">
        <f t="shared" si="2"/>
        <v>248.66666666666666</v>
      </c>
      <c r="F37" s="7">
        <v>1194.2702400000001</v>
      </c>
      <c r="G37" s="6">
        <f t="shared" si="3"/>
        <v>0</v>
      </c>
    </row>
    <row r="38" spans="1:7" x14ac:dyDescent="0.3">
      <c r="A38" s="4" t="s">
        <v>120</v>
      </c>
      <c r="B38" s="5">
        <v>210</v>
      </c>
      <c r="C38" s="5">
        <v>276</v>
      </c>
      <c r="D38" s="5">
        <v>3684</v>
      </c>
      <c r="E38" s="7">
        <f t="shared" si="2"/>
        <v>245.6</v>
      </c>
      <c r="F38" s="7">
        <v>1384.2486415000001</v>
      </c>
      <c r="G38" s="6">
        <f t="shared" si="3"/>
        <v>0</v>
      </c>
    </row>
    <row r="39" spans="1:7" x14ac:dyDescent="0.3">
      <c r="A39" s="4" t="s">
        <v>120</v>
      </c>
      <c r="B39" s="5">
        <v>225</v>
      </c>
      <c r="C39" s="5">
        <v>300</v>
      </c>
      <c r="D39" s="5">
        <v>3701</v>
      </c>
      <c r="E39" s="7">
        <f t="shared" si="2"/>
        <v>246.73333333333332</v>
      </c>
      <c r="F39" s="7">
        <v>1652.3170520000001</v>
      </c>
      <c r="G39" s="6">
        <f t="shared" si="3"/>
        <v>0</v>
      </c>
    </row>
    <row r="40" spans="1:7" x14ac:dyDescent="0.3">
      <c r="A40" s="4" t="s">
        <v>120</v>
      </c>
      <c r="B40" s="5">
        <v>240</v>
      </c>
      <c r="C40" s="5">
        <v>296</v>
      </c>
      <c r="D40" s="5">
        <v>3423</v>
      </c>
      <c r="E40" s="7">
        <f t="shared" si="2"/>
        <v>228.2</v>
      </c>
      <c r="F40" s="7">
        <v>1453.3062570000011</v>
      </c>
      <c r="G40" s="6">
        <f t="shared" si="3"/>
        <v>0</v>
      </c>
    </row>
    <row r="41" spans="1:7" x14ac:dyDescent="0.3">
      <c r="A41" s="4" t="s">
        <v>120</v>
      </c>
      <c r="B41" s="5">
        <v>255</v>
      </c>
      <c r="C41" s="5">
        <v>161</v>
      </c>
      <c r="D41" s="5">
        <v>1966</v>
      </c>
      <c r="E41" s="7">
        <f t="shared" si="2"/>
        <v>131.06666666666666</v>
      </c>
      <c r="F41" s="7">
        <v>397.31107474999999</v>
      </c>
      <c r="G41" s="6">
        <f t="shared" si="3"/>
        <v>0</v>
      </c>
    </row>
    <row r="43" spans="1:7" x14ac:dyDescent="0.3">
      <c r="A43" s="4" t="s">
        <v>121</v>
      </c>
      <c r="B43" s="5">
        <v>0</v>
      </c>
      <c r="C43" s="5">
        <v>6</v>
      </c>
      <c r="D43" s="5">
        <v>130</v>
      </c>
      <c r="E43" s="7">
        <f t="shared" ref="E43:E51" si="4">D43/15</f>
        <v>8.6666666666666661</v>
      </c>
      <c r="F43" s="7">
        <v>46.552998399999993</v>
      </c>
      <c r="G43" s="6">
        <f t="shared" ref="G43:G51" si="5">IF(D43=0,0,0/D43)</f>
        <v>0</v>
      </c>
    </row>
    <row r="44" spans="1:7" x14ac:dyDescent="0.3">
      <c r="A44" s="4" t="s">
        <v>121</v>
      </c>
      <c r="B44" s="5">
        <v>15</v>
      </c>
      <c r="C44" s="5">
        <v>148</v>
      </c>
      <c r="D44" s="5">
        <v>1240</v>
      </c>
      <c r="E44" s="7">
        <f t="shared" si="4"/>
        <v>82.666666666666671</v>
      </c>
      <c r="F44" s="7">
        <v>299.02926569999988</v>
      </c>
      <c r="G44" s="6">
        <f t="shared" si="5"/>
        <v>0</v>
      </c>
    </row>
    <row r="45" spans="1:7" x14ac:dyDescent="0.3">
      <c r="A45" s="4" t="s">
        <v>121</v>
      </c>
      <c r="B45" s="5">
        <v>30</v>
      </c>
      <c r="C45" s="5">
        <v>300</v>
      </c>
      <c r="D45" s="5">
        <v>3851</v>
      </c>
      <c r="E45" s="7">
        <f t="shared" si="4"/>
        <v>256.73333333333335</v>
      </c>
      <c r="F45" s="7">
        <v>1583.4573585000001</v>
      </c>
      <c r="G45" s="6">
        <f t="shared" si="5"/>
        <v>0</v>
      </c>
    </row>
    <row r="46" spans="1:7" x14ac:dyDescent="0.3">
      <c r="A46" s="4" t="s">
        <v>121</v>
      </c>
      <c r="B46" s="5">
        <v>45</v>
      </c>
      <c r="C46" s="5">
        <v>300</v>
      </c>
      <c r="D46" s="5">
        <v>3791</v>
      </c>
      <c r="E46" s="7">
        <f t="shared" si="4"/>
        <v>252.73333333333332</v>
      </c>
      <c r="F46" s="7">
        <v>1680.3232905</v>
      </c>
      <c r="G46" s="6">
        <f t="shared" si="5"/>
        <v>0</v>
      </c>
    </row>
    <row r="47" spans="1:7" x14ac:dyDescent="0.3">
      <c r="A47" s="4" t="s">
        <v>121</v>
      </c>
      <c r="B47" s="5">
        <v>60</v>
      </c>
      <c r="C47" s="5">
        <v>300</v>
      </c>
      <c r="D47" s="5">
        <v>3780</v>
      </c>
      <c r="E47" s="7">
        <f t="shared" si="4"/>
        <v>252</v>
      </c>
      <c r="F47" s="7">
        <v>1688.9797385500001</v>
      </c>
      <c r="G47" s="6">
        <f t="shared" si="5"/>
        <v>0</v>
      </c>
    </row>
    <row r="48" spans="1:7" x14ac:dyDescent="0.3">
      <c r="A48" s="4" t="s">
        <v>121</v>
      </c>
      <c r="B48" s="5">
        <v>75</v>
      </c>
      <c r="C48" s="5">
        <v>300</v>
      </c>
      <c r="D48" s="5">
        <v>2435</v>
      </c>
      <c r="E48" s="7">
        <f t="shared" si="4"/>
        <v>162.33333333333334</v>
      </c>
      <c r="F48" s="7">
        <v>1075.8053935</v>
      </c>
      <c r="G48" s="6">
        <f t="shared" si="5"/>
        <v>0</v>
      </c>
    </row>
    <row r="49" spans="1:7" x14ac:dyDescent="0.3">
      <c r="A49" s="4" t="s">
        <v>121</v>
      </c>
      <c r="B49" s="5">
        <v>90</v>
      </c>
      <c r="C49" s="5">
        <v>10</v>
      </c>
      <c r="D49" s="5">
        <v>346</v>
      </c>
      <c r="E49" s="7">
        <f t="shared" si="4"/>
        <v>23.066666666666666</v>
      </c>
      <c r="F49" s="7">
        <v>49.622553000000003</v>
      </c>
      <c r="G49" s="6">
        <f t="shared" si="5"/>
        <v>0</v>
      </c>
    </row>
    <row r="50" spans="1:7" x14ac:dyDescent="0.3">
      <c r="A50" s="4" t="s">
        <v>121</v>
      </c>
      <c r="B50" s="5">
        <v>105</v>
      </c>
      <c r="C50" s="5">
        <v>10</v>
      </c>
      <c r="D50" s="5">
        <v>330</v>
      </c>
      <c r="E50" s="7">
        <f t="shared" si="4"/>
        <v>22</v>
      </c>
      <c r="F50" s="7">
        <v>49.850065150000013</v>
      </c>
      <c r="G50" s="6">
        <f t="shared" si="5"/>
        <v>0</v>
      </c>
    </row>
    <row r="51" spans="1:7" x14ac:dyDescent="0.3">
      <c r="A51" s="4" t="s">
        <v>121</v>
      </c>
      <c r="B51" s="5">
        <v>120</v>
      </c>
      <c r="C51" s="5">
        <v>10</v>
      </c>
      <c r="D51" s="5">
        <v>124</v>
      </c>
      <c r="E51" s="7">
        <f t="shared" si="4"/>
        <v>8.2666666666666675</v>
      </c>
      <c r="F51" s="7">
        <v>49.819790349999998</v>
      </c>
      <c r="G51" s="6">
        <f t="shared" si="5"/>
        <v>0</v>
      </c>
    </row>
    <row r="53" spans="1:7" x14ac:dyDescent="0.3">
      <c r="A53" s="4" t="s">
        <v>122</v>
      </c>
      <c r="B53" s="5">
        <v>0</v>
      </c>
      <c r="C53" s="5">
        <v>1</v>
      </c>
      <c r="D53" s="5">
        <v>5</v>
      </c>
      <c r="E53" s="7">
        <f t="shared" ref="E53:E66" si="6">D53/15</f>
        <v>0.33333333333333331</v>
      </c>
      <c r="F53" s="7">
        <v>2771.0573399999998</v>
      </c>
      <c r="G53" s="6">
        <f t="shared" ref="G53:G66" si="7">IF(D53=0,0,0/D53)</f>
        <v>0</v>
      </c>
    </row>
    <row r="54" spans="1:7" x14ac:dyDescent="0.3">
      <c r="A54" s="4" t="s">
        <v>122</v>
      </c>
      <c r="B54" s="5">
        <v>15</v>
      </c>
      <c r="C54" s="5">
        <v>1</v>
      </c>
      <c r="D54" s="5">
        <v>5</v>
      </c>
      <c r="E54" s="7">
        <f t="shared" si="6"/>
        <v>0.33333333333333331</v>
      </c>
      <c r="F54" s="7">
        <v>1970.3866462000001</v>
      </c>
      <c r="G54" s="6">
        <f t="shared" si="7"/>
        <v>0</v>
      </c>
    </row>
    <row r="55" spans="1:7" x14ac:dyDescent="0.3">
      <c r="A55" s="4" t="s">
        <v>122</v>
      </c>
      <c r="B55" s="5">
        <v>30</v>
      </c>
      <c r="C55" s="5">
        <v>1</v>
      </c>
      <c r="D55" s="5">
        <v>5</v>
      </c>
      <c r="E55" s="7">
        <f t="shared" si="6"/>
        <v>0.33333333333333331</v>
      </c>
      <c r="F55" s="7">
        <v>1992.3480106</v>
      </c>
      <c r="G55" s="6">
        <f t="shared" si="7"/>
        <v>0</v>
      </c>
    </row>
    <row r="56" spans="1:7" x14ac:dyDescent="0.3">
      <c r="A56" s="4" t="s">
        <v>122</v>
      </c>
      <c r="B56" s="5">
        <v>45</v>
      </c>
      <c r="C56" s="5">
        <v>1</v>
      </c>
      <c r="D56" s="5">
        <v>4</v>
      </c>
      <c r="E56" s="7">
        <f t="shared" si="6"/>
        <v>0.26666666666666666</v>
      </c>
      <c r="F56" s="7">
        <v>2810.0097191</v>
      </c>
      <c r="G56" s="6">
        <f t="shared" si="7"/>
        <v>0</v>
      </c>
    </row>
    <row r="57" spans="1:7" x14ac:dyDescent="0.3">
      <c r="A57" s="4" t="s">
        <v>122</v>
      </c>
      <c r="B57" s="5">
        <v>60</v>
      </c>
      <c r="C57" s="5">
        <v>3</v>
      </c>
      <c r="D57" s="5">
        <v>11</v>
      </c>
      <c r="E57" s="7">
        <f t="shared" si="6"/>
        <v>0.73333333333333328</v>
      </c>
      <c r="F57" s="7">
        <v>2651.8425265000001</v>
      </c>
      <c r="G57" s="6">
        <f t="shared" si="7"/>
        <v>0</v>
      </c>
    </row>
    <row r="58" spans="1:7" x14ac:dyDescent="0.3">
      <c r="A58" s="4" t="s">
        <v>122</v>
      </c>
      <c r="B58" s="5">
        <v>75</v>
      </c>
      <c r="C58" s="5">
        <v>3</v>
      </c>
      <c r="D58" s="5">
        <v>18</v>
      </c>
      <c r="E58" s="7">
        <f t="shared" si="6"/>
        <v>1.2</v>
      </c>
      <c r="F58" s="7">
        <v>1931.0304175000001</v>
      </c>
      <c r="G58" s="6">
        <f t="shared" si="7"/>
        <v>0</v>
      </c>
    </row>
    <row r="59" spans="1:7" x14ac:dyDescent="0.3">
      <c r="A59" s="4" t="s">
        <v>122</v>
      </c>
      <c r="B59" s="5">
        <v>90</v>
      </c>
      <c r="C59" s="5">
        <v>3</v>
      </c>
      <c r="D59" s="5">
        <v>17</v>
      </c>
      <c r="E59" s="7">
        <f t="shared" si="6"/>
        <v>1.1333333333333333</v>
      </c>
      <c r="F59" s="7">
        <v>1963.5062886000001</v>
      </c>
      <c r="G59" s="6">
        <f t="shared" si="7"/>
        <v>0</v>
      </c>
    </row>
    <row r="60" spans="1:7" x14ac:dyDescent="0.3">
      <c r="A60" s="4" t="s">
        <v>122</v>
      </c>
      <c r="B60" s="5">
        <v>105</v>
      </c>
      <c r="C60" s="5">
        <v>3</v>
      </c>
      <c r="D60" s="5">
        <v>16</v>
      </c>
      <c r="E60" s="7">
        <f t="shared" si="6"/>
        <v>1.0666666666666667</v>
      </c>
      <c r="F60" s="7">
        <v>1926.96625075</v>
      </c>
      <c r="G60" s="6">
        <f t="shared" si="7"/>
        <v>0</v>
      </c>
    </row>
    <row r="61" spans="1:7" x14ac:dyDescent="0.3">
      <c r="A61" s="4" t="s">
        <v>122</v>
      </c>
      <c r="B61" s="5">
        <v>120</v>
      </c>
      <c r="C61" s="5">
        <v>4</v>
      </c>
      <c r="D61" s="5">
        <v>18</v>
      </c>
      <c r="E61" s="7">
        <f t="shared" si="6"/>
        <v>1.2</v>
      </c>
      <c r="F61" s="7">
        <v>1929.86057095</v>
      </c>
      <c r="G61" s="6">
        <f t="shared" si="7"/>
        <v>0</v>
      </c>
    </row>
    <row r="62" spans="1:7" x14ac:dyDescent="0.3">
      <c r="A62" s="4" t="s">
        <v>122</v>
      </c>
      <c r="B62" s="5">
        <v>135</v>
      </c>
      <c r="C62" s="5">
        <v>5</v>
      </c>
      <c r="D62" s="5">
        <v>27</v>
      </c>
      <c r="E62" s="7">
        <f t="shared" si="6"/>
        <v>1.8</v>
      </c>
      <c r="F62" s="7">
        <v>1978.8661856000001</v>
      </c>
      <c r="G62" s="6">
        <f t="shared" si="7"/>
        <v>0</v>
      </c>
    </row>
    <row r="63" spans="1:7" x14ac:dyDescent="0.3">
      <c r="A63" s="4" t="s">
        <v>122</v>
      </c>
      <c r="B63" s="5">
        <v>150</v>
      </c>
      <c r="C63" s="5">
        <v>5</v>
      </c>
      <c r="D63" s="5">
        <v>25</v>
      </c>
      <c r="E63" s="7">
        <f t="shared" si="6"/>
        <v>1.6666666666666667</v>
      </c>
      <c r="F63" s="7">
        <v>2064.8346172000001</v>
      </c>
      <c r="G63" s="6">
        <f t="shared" si="7"/>
        <v>0</v>
      </c>
    </row>
    <row r="64" spans="1:7" x14ac:dyDescent="0.3">
      <c r="A64" s="4" t="s">
        <v>122</v>
      </c>
      <c r="B64" s="5">
        <v>165</v>
      </c>
      <c r="C64" s="5">
        <v>5</v>
      </c>
      <c r="D64" s="5">
        <v>28</v>
      </c>
      <c r="E64" s="7">
        <f t="shared" si="6"/>
        <v>1.8666666666666667</v>
      </c>
      <c r="F64" s="7">
        <v>2072.4913231999999</v>
      </c>
      <c r="G64" s="6">
        <f t="shared" si="7"/>
        <v>0</v>
      </c>
    </row>
    <row r="65" spans="1:7" x14ac:dyDescent="0.3">
      <c r="A65" s="4" t="s">
        <v>122</v>
      </c>
      <c r="B65" s="5">
        <v>180</v>
      </c>
      <c r="C65" s="5">
        <v>5</v>
      </c>
      <c r="D65" s="5">
        <v>27</v>
      </c>
      <c r="E65" s="7">
        <f t="shared" si="6"/>
        <v>1.8</v>
      </c>
      <c r="F65" s="7">
        <v>2026.3719123000001</v>
      </c>
      <c r="G65" s="6">
        <f t="shared" si="7"/>
        <v>0</v>
      </c>
    </row>
    <row r="66" spans="1:7" x14ac:dyDescent="0.3">
      <c r="A66" s="4" t="s">
        <v>122</v>
      </c>
      <c r="B66" s="5">
        <v>195</v>
      </c>
      <c r="C66" s="5">
        <v>5</v>
      </c>
      <c r="D66" s="5">
        <v>10</v>
      </c>
      <c r="E66" s="7">
        <f t="shared" si="6"/>
        <v>0.66666666666666663</v>
      </c>
      <c r="F66" s="7">
        <v>2296.89942445</v>
      </c>
      <c r="G66" s="6">
        <f t="shared" si="7"/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A3412"/>
  </sheetPr>
  <dimension ref="A1:F153"/>
  <sheetViews>
    <sheetView showGridLines="0" workbookViewId="0"/>
  </sheetViews>
  <sheetFormatPr defaultRowHeight="14.4" x14ac:dyDescent="0.3"/>
  <cols>
    <col min="1" max="2" width="10" customWidth="1"/>
    <col min="3" max="3" width="12" customWidth="1"/>
    <col min="4" max="4" width="13" customWidth="1"/>
    <col min="5" max="5" width="11" customWidth="1"/>
    <col min="6" max="6" width="13" customWidth="1"/>
  </cols>
  <sheetData>
    <row r="1" spans="1:6" ht="17.399999999999999" x14ac:dyDescent="0.3">
      <c r="A1" s="1" t="s">
        <v>132</v>
      </c>
    </row>
    <row r="2" spans="1:6" x14ac:dyDescent="0.3">
      <c r="A2" s="2" t="s">
        <v>133</v>
      </c>
    </row>
    <row r="4" spans="1:6" ht="31.95" customHeight="1" x14ac:dyDescent="0.3">
      <c r="A4" s="3" t="s">
        <v>2</v>
      </c>
      <c r="B4" s="3" t="s">
        <v>127</v>
      </c>
      <c r="C4" s="3" t="s">
        <v>134</v>
      </c>
      <c r="D4" s="3" t="s">
        <v>135</v>
      </c>
      <c r="E4" s="3" t="s">
        <v>136</v>
      </c>
      <c r="F4" s="3" t="s">
        <v>137</v>
      </c>
    </row>
    <row r="5" spans="1:6" x14ac:dyDescent="0.3">
      <c r="A5" s="4" t="s">
        <v>88</v>
      </c>
      <c r="B5" s="5">
        <v>0</v>
      </c>
      <c r="C5" s="16">
        <v>0.3</v>
      </c>
      <c r="D5" s="5">
        <v>151</v>
      </c>
      <c r="E5" s="16">
        <v>3.5</v>
      </c>
      <c r="F5" s="5">
        <v>79</v>
      </c>
    </row>
    <row r="6" spans="1:6" x14ac:dyDescent="0.3">
      <c r="A6" s="4" t="s">
        <v>88</v>
      </c>
      <c r="B6" s="5">
        <v>6</v>
      </c>
      <c r="C6" s="16">
        <v>0.3</v>
      </c>
      <c r="D6" s="5">
        <v>154</v>
      </c>
      <c r="E6" s="16">
        <v>0.44</v>
      </c>
      <c r="F6" s="5">
        <v>80</v>
      </c>
    </row>
    <row r="7" spans="1:6" x14ac:dyDescent="0.3">
      <c r="A7" s="4" t="s">
        <v>88</v>
      </c>
      <c r="B7" s="5">
        <v>13</v>
      </c>
      <c r="C7" s="16">
        <v>0.3</v>
      </c>
      <c r="D7" s="5">
        <v>158</v>
      </c>
      <c r="E7" s="16">
        <v>0.89</v>
      </c>
      <c r="F7" s="5">
        <v>82</v>
      </c>
    </row>
    <row r="8" spans="1:6" x14ac:dyDescent="0.3">
      <c r="A8" s="4" t="s">
        <v>88</v>
      </c>
      <c r="B8" s="5">
        <v>19</v>
      </c>
      <c r="C8" s="16">
        <v>0.4</v>
      </c>
      <c r="D8" s="5">
        <v>162</v>
      </c>
      <c r="E8" s="16">
        <v>0.08</v>
      </c>
      <c r="F8" s="5">
        <v>82</v>
      </c>
    </row>
    <row r="9" spans="1:6" x14ac:dyDescent="0.3">
      <c r="A9" s="4" t="s">
        <v>88</v>
      </c>
      <c r="B9" s="5">
        <v>25</v>
      </c>
      <c r="C9" s="16">
        <v>0.2</v>
      </c>
      <c r="D9" s="5">
        <v>167</v>
      </c>
      <c r="E9" s="16">
        <v>2.2200000000000002</v>
      </c>
      <c r="F9" s="5">
        <v>80</v>
      </c>
    </row>
    <row r="11" spans="1:6" x14ac:dyDescent="0.3">
      <c r="A11" s="4" t="s">
        <v>119</v>
      </c>
      <c r="B11" s="5">
        <v>0</v>
      </c>
      <c r="C11" s="16">
        <v>0.5</v>
      </c>
      <c r="D11" s="5">
        <v>170</v>
      </c>
      <c r="E11" s="16">
        <v>1.75</v>
      </c>
      <c r="F11" s="5">
        <v>83</v>
      </c>
    </row>
    <row r="12" spans="1:6" x14ac:dyDescent="0.3">
      <c r="A12" s="4" t="s">
        <v>119</v>
      </c>
      <c r="B12" s="5">
        <v>6</v>
      </c>
      <c r="C12" s="16">
        <v>1.3</v>
      </c>
      <c r="D12" s="5">
        <v>170</v>
      </c>
      <c r="E12" s="16">
        <v>3.44</v>
      </c>
      <c r="F12" s="5">
        <v>84</v>
      </c>
    </row>
    <row r="13" spans="1:6" x14ac:dyDescent="0.3">
      <c r="A13" s="4" t="s">
        <v>119</v>
      </c>
      <c r="B13" s="5">
        <v>13</v>
      </c>
      <c r="C13" s="16">
        <v>1.7</v>
      </c>
      <c r="D13" s="5">
        <v>181</v>
      </c>
      <c r="E13" s="16">
        <v>2.76</v>
      </c>
      <c r="F13" s="5">
        <v>88</v>
      </c>
    </row>
    <row r="14" spans="1:6" x14ac:dyDescent="0.3">
      <c r="A14" s="4" t="s">
        <v>119</v>
      </c>
      <c r="B14" s="5">
        <v>19</v>
      </c>
      <c r="C14" s="16">
        <v>2.4</v>
      </c>
      <c r="D14" s="5">
        <v>189</v>
      </c>
      <c r="E14" s="16">
        <v>8.5299999999999994</v>
      </c>
      <c r="F14" s="5">
        <v>87</v>
      </c>
    </row>
    <row r="15" spans="1:6" x14ac:dyDescent="0.3">
      <c r="A15" s="4" t="s">
        <v>119</v>
      </c>
      <c r="B15" s="5">
        <v>25</v>
      </c>
      <c r="C15" s="16">
        <v>2.6</v>
      </c>
      <c r="D15" s="5">
        <v>192</v>
      </c>
      <c r="E15" s="16">
        <v>3.78</v>
      </c>
      <c r="F15" s="5">
        <v>89</v>
      </c>
    </row>
    <row r="16" spans="1:6" x14ac:dyDescent="0.3">
      <c r="A16" s="4" t="s">
        <v>119</v>
      </c>
      <c r="B16" s="5">
        <v>31</v>
      </c>
      <c r="C16" s="16">
        <v>3.2</v>
      </c>
      <c r="D16" s="5">
        <v>196</v>
      </c>
      <c r="E16" s="16">
        <v>7.17</v>
      </c>
      <c r="F16" s="5">
        <v>98</v>
      </c>
    </row>
    <row r="17" spans="1:6" x14ac:dyDescent="0.3">
      <c r="A17" s="4" t="s">
        <v>119</v>
      </c>
      <c r="B17" s="5">
        <v>37</v>
      </c>
      <c r="C17" s="16">
        <v>3.7</v>
      </c>
      <c r="D17" s="5">
        <v>212</v>
      </c>
      <c r="E17" s="16">
        <v>3.17</v>
      </c>
      <c r="F17" s="5">
        <v>101</v>
      </c>
    </row>
    <row r="18" spans="1:6" x14ac:dyDescent="0.3">
      <c r="A18" s="4" t="s">
        <v>119</v>
      </c>
      <c r="B18" s="5">
        <v>44</v>
      </c>
      <c r="C18" s="16">
        <v>3.6</v>
      </c>
      <c r="D18" s="5">
        <v>234</v>
      </c>
      <c r="E18" s="16">
        <v>5.35</v>
      </c>
      <c r="F18" s="5">
        <v>103</v>
      </c>
    </row>
    <row r="19" spans="1:6" x14ac:dyDescent="0.3">
      <c r="A19" s="4" t="s">
        <v>119</v>
      </c>
      <c r="B19" s="5">
        <v>50</v>
      </c>
      <c r="C19" s="16">
        <v>5.3</v>
      </c>
      <c r="D19" s="5">
        <v>263</v>
      </c>
      <c r="E19" s="16">
        <v>5.18</v>
      </c>
      <c r="F19" s="5">
        <v>105</v>
      </c>
    </row>
    <row r="20" spans="1:6" x14ac:dyDescent="0.3">
      <c r="A20" s="4" t="s">
        <v>119</v>
      </c>
      <c r="B20" s="5">
        <v>56</v>
      </c>
      <c r="C20" s="16">
        <v>5.5</v>
      </c>
      <c r="D20" s="5">
        <v>267</v>
      </c>
      <c r="E20" s="16">
        <v>8.1999999999999993</v>
      </c>
      <c r="F20" s="5">
        <v>105</v>
      </c>
    </row>
    <row r="21" spans="1:6" x14ac:dyDescent="0.3">
      <c r="A21" s="4" t="s">
        <v>119</v>
      </c>
      <c r="B21" s="5">
        <v>63</v>
      </c>
      <c r="C21" s="16">
        <v>5.0999999999999996</v>
      </c>
      <c r="D21" s="5">
        <v>290</v>
      </c>
      <c r="E21" s="16">
        <v>4.82</v>
      </c>
      <c r="F21" s="5">
        <v>105</v>
      </c>
    </row>
    <row r="22" spans="1:6" x14ac:dyDescent="0.3">
      <c r="A22" s="4" t="s">
        <v>119</v>
      </c>
      <c r="B22" s="5">
        <v>69</v>
      </c>
      <c r="C22" s="16">
        <v>5.4</v>
      </c>
      <c r="D22" s="5">
        <v>318</v>
      </c>
      <c r="E22" s="16">
        <v>4.32</v>
      </c>
      <c r="F22" s="5">
        <v>105</v>
      </c>
    </row>
    <row r="23" spans="1:6" x14ac:dyDescent="0.3">
      <c r="A23" s="4" t="s">
        <v>119</v>
      </c>
      <c r="B23" s="5">
        <v>76</v>
      </c>
      <c r="C23" s="16">
        <v>5.5</v>
      </c>
      <c r="D23" s="5">
        <v>325</v>
      </c>
      <c r="E23" s="16">
        <v>8.1199999999999992</v>
      </c>
      <c r="F23" s="5">
        <v>105</v>
      </c>
    </row>
    <row r="24" spans="1:6" x14ac:dyDescent="0.3">
      <c r="A24" s="4" t="s">
        <v>119</v>
      </c>
      <c r="B24" s="5">
        <v>82</v>
      </c>
      <c r="C24" s="16">
        <v>5.2</v>
      </c>
      <c r="D24" s="5">
        <v>331</v>
      </c>
      <c r="E24" s="16">
        <v>4.83</v>
      </c>
      <c r="F24" s="5">
        <v>105</v>
      </c>
    </row>
    <row r="25" spans="1:6" x14ac:dyDescent="0.3">
      <c r="A25" s="4" t="s">
        <v>119</v>
      </c>
      <c r="B25" s="5">
        <v>88</v>
      </c>
      <c r="C25" s="16">
        <v>5.5</v>
      </c>
      <c r="D25" s="5">
        <v>326</v>
      </c>
      <c r="E25" s="16">
        <v>4.62</v>
      </c>
      <c r="F25" s="5">
        <v>106</v>
      </c>
    </row>
    <row r="26" spans="1:6" x14ac:dyDescent="0.3">
      <c r="A26" s="4" t="s">
        <v>119</v>
      </c>
      <c r="B26" s="5">
        <v>95</v>
      </c>
      <c r="C26" s="16">
        <v>5.4</v>
      </c>
      <c r="D26" s="5">
        <v>333</v>
      </c>
      <c r="E26" s="16">
        <v>4.75</v>
      </c>
      <c r="F26" s="5">
        <v>105</v>
      </c>
    </row>
    <row r="27" spans="1:6" x14ac:dyDescent="0.3">
      <c r="A27" s="4" t="s">
        <v>119</v>
      </c>
      <c r="B27" s="5">
        <v>101</v>
      </c>
      <c r="C27" s="16">
        <v>5.0999999999999996</v>
      </c>
      <c r="D27" s="5">
        <v>339</v>
      </c>
      <c r="E27" s="16">
        <v>6.61</v>
      </c>
      <c r="F27" s="5">
        <v>105</v>
      </c>
    </row>
    <row r="28" spans="1:6" x14ac:dyDescent="0.3">
      <c r="A28" s="4" t="s">
        <v>119</v>
      </c>
      <c r="B28" s="5">
        <v>107</v>
      </c>
      <c r="C28" s="16">
        <v>5.8</v>
      </c>
      <c r="D28" s="5">
        <v>325</v>
      </c>
      <c r="E28" s="16">
        <v>5.25</v>
      </c>
      <c r="F28" s="5">
        <v>109</v>
      </c>
    </row>
    <row r="29" spans="1:6" x14ac:dyDescent="0.3">
      <c r="A29" s="4" t="s">
        <v>119</v>
      </c>
      <c r="B29" s="5">
        <v>114</v>
      </c>
      <c r="C29" s="16">
        <v>5.5</v>
      </c>
      <c r="D29" s="5">
        <v>333</v>
      </c>
      <c r="E29" s="16">
        <v>4.17</v>
      </c>
      <c r="F29" s="5">
        <v>110</v>
      </c>
    </row>
    <row r="30" spans="1:6" x14ac:dyDescent="0.3">
      <c r="A30" s="4" t="s">
        <v>119</v>
      </c>
      <c r="B30" s="5">
        <v>120</v>
      </c>
      <c r="C30" s="16">
        <v>5.2</v>
      </c>
      <c r="D30" s="5">
        <v>338</v>
      </c>
      <c r="E30" s="16">
        <v>5.07</v>
      </c>
      <c r="F30" s="5">
        <v>110</v>
      </c>
    </row>
    <row r="31" spans="1:6" x14ac:dyDescent="0.3">
      <c r="A31" s="4" t="s">
        <v>119</v>
      </c>
      <c r="B31" s="5">
        <v>126</v>
      </c>
      <c r="C31" s="16">
        <v>5.0999999999999996</v>
      </c>
      <c r="D31" s="5">
        <v>345</v>
      </c>
      <c r="E31" s="16">
        <v>8.5</v>
      </c>
      <c r="F31" s="5">
        <v>110</v>
      </c>
    </row>
    <row r="32" spans="1:6" x14ac:dyDescent="0.3">
      <c r="A32" s="4" t="s">
        <v>119</v>
      </c>
      <c r="B32" s="5">
        <v>133</v>
      </c>
      <c r="C32" s="16">
        <v>5.5</v>
      </c>
      <c r="D32" s="5">
        <v>333</v>
      </c>
      <c r="E32" s="16">
        <v>4.7300000000000004</v>
      </c>
      <c r="F32" s="5">
        <v>110</v>
      </c>
    </row>
    <row r="33" spans="1:6" x14ac:dyDescent="0.3">
      <c r="A33" s="4" t="s">
        <v>119</v>
      </c>
      <c r="B33" s="5">
        <v>139</v>
      </c>
      <c r="C33" s="16">
        <v>4.5999999999999996</v>
      </c>
      <c r="D33" s="5">
        <v>338</v>
      </c>
      <c r="E33" s="16">
        <v>5.33</v>
      </c>
      <c r="F33" s="5">
        <v>111</v>
      </c>
    </row>
    <row r="34" spans="1:6" x14ac:dyDescent="0.3">
      <c r="A34" s="4" t="s">
        <v>119</v>
      </c>
      <c r="B34" s="5">
        <v>146</v>
      </c>
      <c r="C34" s="16">
        <v>5.0999999999999996</v>
      </c>
      <c r="D34" s="5">
        <v>344</v>
      </c>
      <c r="E34" s="16">
        <v>6.69</v>
      </c>
      <c r="F34" s="5">
        <v>110</v>
      </c>
    </row>
    <row r="35" spans="1:6" x14ac:dyDescent="0.3">
      <c r="A35" s="4" t="s">
        <v>119</v>
      </c>
      <c r="B35" s="5">
        <v>152</v>
      </c>
      <c r="C35" s="16">
        <v>5.5</v>
      </c>
      <c r="D35" s="5">
        <v>332</v>
      </c>
      <c r="E35" s="16">
        <v>5.29</v>
      </c>
      <c r="F35" s="5">
        <v>110</v>
      </c>
    </row>
    <row r="36" spans="1:6" x14ac:dyDescent="0.3">
      <c r="A36" s="4" t="s">
        <v>119</v>
      </c>
      <c r="B36" s="5">
        <v>158</v>
      </c>
      <c r="C36" s="16">
        <v>4.8</v>
      </c>
      <c r="D36" s="5">
        <v>338</v>
      </c>
      <c r="E36" s="16">
        <v>7.95</v>
      </c>
      <c r="F36" s="5">
        <v>113</v>
      </c>
    </row>
    <row r="37" spans="1:6" x14ac:dyDescent="0.3">
      <c r="A37" s="4" t="s">
        <v>119</v>
      </c>
      <c r="B37" s="5">
        <v>165</v>
      </c>
      <c r="C37" s="16">
        <v>5.6</v>
      </c>
      <c r="D37" s="5">
        <v>346</v>
      </c>
      <c r="E37" s="16">
        <v>4.03</v>
      </c>
      <c r="F37" s="5">
        <v>114</v>
      </c>
    </row>
    <row r="38" spans="1:6" x14ac:dyDescent="0.3">
      <c r="A38" s="4" t="s">
        <v>119</v>
      </c>
      <c r="B38" s="5">
        <v>171</v>
      </c>
      <c r="C38" s="16">
        <v>5.2</v>
      </c>
      <c r="D38" s="5">
        <v>334</v>
      </c>
      <c r="E38" s="16">
        <v>6.11</v>
      </c>
      <c r="F38" s="5">
        <v>114</v>
      </c>
    </row>
    <row r="39" spans="1:6" x14ac:dyDescent="0.3">
      <c r="A39" s="4" t="s">
        <v>119</v>
      </c>
      <c r="B39" s="5">
        <v>178</v>
      </c>
      <c r="C39" s="16">
        <v>4.5999999999999996</v>
      </c>
      <c r="D39" s="5">
        <v>339</v>
      </c>
      <c r="E39" s="16">
        <v>6.76</v>
      </c>
      <c r="F39" s="5">
        <v>114</v>
      </c>
    </row>
    <row r="40" spans="1:6" x14ac:dyDescent="0.3">
      <c r="A40" s="4" t="s">
        <v>119</v>
      </c>
      <c r="B40" s="5">
        <v>184</v>
      </c>
      <c r="C40" s="16">
        <v>5.0999999999999996</v>
      </c>
      <c r="D40" s="5">
        <v>345</v>
      </c>
      <c r="E40" s="16">
        <v>5.36</v>
      </c>
      <c r="F40" s="5">
        <v>114</v>
      </c>
    </row>
    <row r="41" spans="1:6" x14ac:dyDescent="0.3">
      <c r="A41" s="4" t="s">
        <v>119</v>
      </c>
      <c r="B41" s="5">
        <v>190</v>
      </c>
      <c r="C41" s="16">
        <v>5.4</v>
      </c>
      <c r="D41" s="5">
        <v>333</v>
      </c>
      <c r="E41" s="16">
        <v>5.53</v>
      </c>
      <c r="F41" s="5">
        <v>114</v>
      </c>
    </row>
    <row r="42" spans="1:6" x14ac:dyDescent="0.3">
      <c r="A42" s="4" t="s">
        <v>119</v>
      </c>
      <c r="B42" s="5">
        <v>197</v>
      </c>
      <c r="C42" s="16">
        <v>5.0999999999999996</v>
      </c>
      <c r="D42" s="5">
        <v>338</v>
      </c>
      <c r="E42" s="16">
        <v>5.35</v>
      </c>
      <c r="F42" s="5">
        <v>114</v>
      </c>
    </row>
    <row r="43" spans="1:6" x14ac:dyDescent="0.3">
      <c r="A43" s="4" t="s">
        <v>119</v>
      </c>
      <c r="B43" s="5">
        <v>203</v>
      </c>
      <c r="C43" s="16">
        <v>4.9000000000000004</v>
      </c>
      <c r="D43" s="5">
        <v>344</v>
      </c>
      <c r="E43" s="16">
        <v>7.63</v>
      </c>
      <c r="F43" s="5">
        <v>114</v>
      </c>
    </row>
    <row r="44" spans="1:6" x14ac:dyDescent="0.3">
      <c r="A44" s="4" t="s">
        <v>119</v>
      </c>
      <c r="B44" s="5">
        <v>209</v>
      </c>
      <c r="C44" s="16">
        <v>5.2</v>
      </c>
      <c r="D44" s="5">
        <v>332</v>
      </c>
      <c r="E44" s="16">
        <v>5.78</v>
      </c>
      <c r="F44" s="5">
        <v>114</v>
      </c>
    </row>
    <row r="45" spans="1:6" x14ac:dyDescent="0.3">
      <c r="A45" s="4" t="s">
        <v>119</v>
      </c>
      <c r="B45" s="5">
        <v>215</v>
      </c>
      <c r="C45" s="16">
        <v>5</v>
      </c>
      <c r="D45" s="5">
        <v>338</v>
      </c>
      <c r="E45" s="16">
        <v>5.0599999999999996</v>
      </c>
      <c r="F45" s="5">
        <v>115</v>
      </c>
    </row>
    <row r="46" spans="1:6" x14ac:dyDescent="0.3">
      <c r="A46" s="4" t="s">
        <v>119</v>
      </c>
      <c r="B46" s="5">
        <v>221</v>
      </c>
      <c r="C46" s="16">
        <v>5</v>
      </c>
      <c r="D46" s="5">
        <v>343</v>
      </c>
      <c r="E46" s="16">
        <v>5.89</v>
      </c>
      <c r="F46" s="5">
        <v>114</v>
      </c>
    </row>
    <row r="47" spans="1:6" x14ac:dyDescent="0.3">
      <c r="A47" s="4" t="s">
        <v>119</v>
      </c>
      <c r="B47" s="5">
        <v>228</v>
      </c>
      <c r="C47" s="16">
        <v>4.9000000000000004</v>
      </c>
      <c r="D47" s="5">
        <v>332</v>
      </c>
      <c r="E47" s="16">
        <v>6.95</v>
      </c>
      <c r="F47" s="5">
        <v>114</v>
      </c>
    </row>
    <row r="48" spans="1:6" x14ac:dyDescent="0.3">
      <c r="A48" s="4" t="s">
        <v>119</v>
      </c>
      <c r="B48" s="5">
        <v>234</v>
      </c>
      <c r="C48" s="16">
        <v>4.8</v>
      </c>
      <c r="D48" s="5">
        <v>337</v>
      </c>
      <c r="E48" s="16">
        <v>6.23</v>
      </c>
      <c r="F48" s="5">
        <v>115</v>
      </c>
    </row>
    <row r="49" spans="1:6" x14ac:dyDescent="0.3">
      <c r="A49" s="4" t="s">
        <v>119</v>
      </c>
      <c r="B49" s="5">
        <v>240</v>
      </c>
      <c r="C49" s="16">
        <v>3.5</v>
      </c>
      <c r="D49" s="5">
        <v>342</v>
      </c>
      <c r="E49" s="16">
        <v>2.77</v>
      </c>
      <c r="F49" s="5">
        <v>115</v>
      </c>
    </row>
    <row r="50" spans="1:6" x14ac:dyDescent="0.3">
      <c r="A50" s="4" t="s">
        <v>119</v>
      </c>
      <c r="B50" s="5">
        <v>247</v>
      </c>
      <c r="C50" s="16">
        <v>3.4</v>
      </c>
      <c r="D50" s="5">
        <v>328</v>
      </c>
      <c r="E50" s="16">
        <v>3.24</v>
      </c>
      <c r="F50" s="5">
        <v>115</v>
      </c>
    </row>
    <row r="51" spans="1:6" x14ac:dyDescent="0.3">
      <c r="A51" s="4" t="s">
        <v>119</v>
      </c>
      <c r="B51" s="5">
        <v>253</v>
      </c>
      <c r="C51" s="16">
        <v>2.2999999999999998</v>
      </c>
      <c r="D51" s="5">
        <v>332</v>
      </c>
      <c r="E51" s="16">
        <v>1.04</v>
      </c>
      <c r="F51" s="5">
        <v>115</v>
      </c>
    </row>
    <row r="52" spans="1:6" x14ac:dyDescent="0.3">
      <c r="A52" s="4" t="s">
        <v>119</v>
      </c>
      <c r="B52" s="5">
        <v>259</v>
      </c>
      <c r="C52" s="16">
        <v>1.4</v>
      </c>
      <c r="D52" s="5">
        <v>333</v>
      </c>
      <c r="E52" s="16">
        <v>0.82</v>
      </c>
      <c r="F52" s="5">
        <v>114</v>
      </c>
    </row>
    <row r="53" spans="1:6" x14ac:dyDescent="0.3">
      <c r="A53" s="4" t="s">
        <v>119</v>
      </c>
      <c r="B53" s="5">
        <v>266</v>
      </c>
      <c r="C53" s="16">
        <v>0.5</v>
      </c>
      <c r="D53" s="5">
        <v>335</v>
      </c>
      <c r="E53" s="16">
        <v>0.37</v>
      </c>
      <c r="F53" s="5">
        <v>106</v>
      </c>
    </row>
    <row r="55" spans="1:6" x14ac:dyDescent="0.3">
      <c r="A55" s="4" t="s">
        <v>120</v>
      </c>
      <c r="B55" s="5">
        <v>0</v>
      </c>
      <c r="C55" s="16">
        <v>0.5</v>
      </c>
      <c r="D55" s="5">
        <v>164</v>
      </c>
      <c r="E55" s="16">
        <v>1.19</v>
      </c>
      <c r="F55" s="5">
        <v>109</v>
      </c>
    </row>
    <row r="56" spans="1:6" x14ac:dyDescent="0.3">
      <c r="A56" s="4" t="s">
        <v>120</v>
      </c>
      <c r="B56" s="5">
        <v>6</v>
      </c>
      <c r="C56" s="16">
        <v>1.6</v>
      </c>
      <c r="D56" s="5">
        <v>176</v>
      </c>
      <c r="E56" s="16">
        <v>1.26</v>
      </c>
      <c r="F56" s="5">
        <v>109</v>
      </c>
    </row>
    <row r="57" spans="1:6" x14ac:dyDescent="0.3">
      <c r="A57" s="4" t="s">
        <v>120</v>
      </c>
      <c r="B57" s="5">
        <v>13</v>
      </c>
      <c r="C57" s="16">
        <v>1.1000000000000001</v>
      </c>
      <c r="D57" s="5">
        <v>182</v>
      </c>
      <c r="E57" s="16">
        <v>2.11</v>
      </c>
      <c r="F57" s="5">
        <v>109</v>
      </c>
    </row>
    <row r="58" spans="1:6" x14ac:dyDescent="0.3">
      <c r="A58" s="4" t="s">
        <v>120</v>
      </c>
      <c r="B58" s="5">
        <v>19</v>
      </c>
      <c r="C58" s="16">
        <v>1.1000000000000001</v>
      </c>
      <c r="D58" s="5">
        <v>183</v>
      </c>
      <c r="E58" s="16">
        <v>6.33</v>
      </c>
      <c r="F58" s="5">
        <v>109</v>
      </c>
    </row>
    <row r="59" spans="1:6" x14ac:dyDescent="0.3">
      <c r="A59" s="4" t="s">
        <v>120</v>
      </c>
      <c r="B59" s="5">
        <v>25</v>
      </c>
      <c r="C59" s="16">
        <v>3.3</v>
      </c>
      <c r="D59" s="5">
        <v>187</v>
      </c>
      <c r="E59" s="16">
        <v>8.39</v>
      </c>
      <c r="F59" s="5">
        <v>101</v>
      </c>
    </row>
    <row r="60" spans="1:6" x14ac:dyDescent="0.3">
      <c r="A60" s="4" t="s">
        <v>120</v>
      </c>
      <c r="B60" s="5">
        <v>31</v>
      </c>
      <c r="C60" s="16">
        <v>3.9</v>
      </c>
      <c r="D60" s="5">
        <v>192</v>
      </c>
      <c r="E60" s="16">
        <v>5.88</v>
      </c>
      <c r="F60" s="5">
        <v>104</v>
      </c>
    </row>
    <row r="61" spans="1:6" x14ac:dyDescent="0.3">
      <c r="A61" s="4" t="s">
        <v>120</v>
      </c>
      <c r="B61" s="5">
        <v>38</v>
      </c>
      <c r="C61" s="16">
        <v>4.8</v>
      </c>
      <c r="D61" s="5">
        <v>202</v>
      </c>
      <c r="E61" s="16">
        <v>5.57</v>
      </c>
      <c r="F61" s="5">
        <v>104</v>
      </c>
    </row>
    <row r="62" spans="1:6" x14ac:dyDescent="0.3">
      <c r="A62" s="4" t="s">
        <v>120</v>
      </c>
      <c r="B62" s="5">
        <v>44</v>
      </c>
      <c r="C62" s="16">
        <v>4.5</v>
      </c>
      <c r="D62" s="5">
        <v>223</v>
      </c>
      <c r="E62" s="16">
        <v>7.76</v>
      </c>
      <c r="F62" s="5">
        <v>106</v>
      </c>
    </row>
    <row r="63" spans="1:6" x14ac:dyDescent="0.3">
      <c r="A63" s="4" t="s">
        <v>120</v>
      </c>
      <c r="B63" s="5">
        <v>50</v>
      </c>
      <c r="C63" s="16">
        <v>4.7</v>
      </c>
      <c r="D63" s="5">
        <v>245</v>
      </c>
      <c r="E63" s="16">
        <v>6.45</v>
      </c>
      <c r="F63" s="5">
        <v>109</v>
      </c>
    </row>
    <row r="64" spans="1:6" x14ac:dyDescent="0.3">
      <c r="A64" s="4" t="s">
        <v>120</v>
      </c>
      <c r="B64" s="5">
        <v>56</v>
      </c>
      <c r="C64" s="16">
        <v>5.2</v>
      </c>
      <c r="D64" s="5">
        <v>269</v>
      </c>
      <c r="E64" s="16">
        <v>7.55</v>
      </c>
      <c r="F64" s="5">
        <v>110</v>
      </c>
    </row>
    <row r="65" spans="1:6" x14ac:dyDescent="0.3">
      <c r="A65" s="4" t="s">
        <v>120</v>
      </c>
      <c r="B65" s="5">
        <v>63</v>
      </c>
      <c r="C65" s="16">
        <v>6.4</v>
      </c>
      <c r="D65" s="5">
        <v>287</v>
      </c>
      <c r="E65" s="16">
        <v>7.54</v>
      </c>
      <c r="F65" s="5">
        <v>110</v>
      </c>
    </row>
    <row r="66" spans="1:6" x14ac:dyDescent="0.3">
      <c r="A66" s="4" t="s">
        <v>120</v>
      </c>
      <c r="B66" s="5">
        <v>69</v>
      </c>
      <c r="C66" s="16">
        <v>7.1</v>
      </c>
      <c r="D66" s="5">
        <v>302</v>
      </c>
      <c r="E66" s="16">
        <v>10.91</v>
      </c>
      <c r="F66" s="5">
        <v>115</v>
      </c>
    </row>
    <row r="67" spans="1:6" x14ac:dyDescent="0.3">
      <c r="A67" s="4" t="s">
        <v>120</v>
      </c>
      <c r="B67" s="5">
        <v>75</v>
      </c>
      <c r="C67" s="16">
        <v>7</v>
      </c>
      <c r="D67" s="5">
        <v>319</v>
      </c>
      <c r="E67" s="16">
        <v>9.0500000000000007</v>
      </c>
      <c r="F67" s="5">
        <v>114</v>
      </c>
    </row>
    <row r="68" spans="1:6" x14ac:dyDescent="0.3">
      <c r="A68" s="4" t="s">
        <v>120</v>
      </c>
      <c r="B68" s="5">
        <v>82</v>
      </c>
      <c r="C68" s="16">
        <v>7.4</v>
      </c>
      <c r="D68" s="5">
        <v>331</v>
      </c>
      <c r="E68" s="16">
        <v>7.43</v>
      </c>
      <c r="F68" s="5">
        <v>116</v>
      </c>
    </row>
    <row r="69" spans="1:6" x14ac:dyDescent="0.3">
      <c r="A69" s="4" t="s">
        <v>120</v>
      </c>
      <c r="B69" s="5">
        <v>88</v>
      </c>
      <c r="C69" s="16">
        <v>8</v>
      </c>
      <c r="D69" s="5">
        <v>325</v>
      </c>
      <c r="E69" s="16">
        <v>9.56</v>
      </c>
      <c r="F69" s="5">
        <v>116</v>
      </c>
    </row>
    <row r="70" spans="1:6" x14ac:dyDescent="0.3">
      <c r="A70" s="4" t="s">
        <v>120</v>
      </c>
      <c r="B70" s="5">
        <v>94</v>
      </c>
      <c r="C70" s="16">
        <v>6.5</v>
      </c>
      <c r="D70" s="5">
        <v>317</v>
      </c>
      <c r="E70" s="16">
        <v>10.76</v>
      </c>
      <c r="F70" s="5">
        <v>115</v>
      </c>
    </row>
    <row r="71" spans="1:6" x14ac:dyDescent="0.3">
      <c r="A71" s="4" t="s">
        <v>120</v>
      </c>
      <c r="B71" s="5">
        <v>100</v>
      </c>
      <c r="C71" s="16">
        <v>8.3000000000000007</v>
      </c>
      <c r="D71" s="5">
        <v>330</v>
      </c>
      <c r="E71" s="16">
        <v>11.73</v>
      </c>
      <c r="F71" s="5">
        <v>116</v>
      </c>
    </row>
    <row r="72" spans="1:6" x14ac:dyDescent="0.3">
      <c r="A72" s="4" t="s">
        <v>120</v>
      </c>
      <c r="B72" s="5">
        <v>106</v>
      </c>
      <c r="C72" s="16">
        <v>7.1</v>
      </c>
      <c r="D72" s="5">
        <v>326</v>
      </c>
      <c r="E72" s="16">
        <v>10.65</v>
      </c>
      <c r="F72" s="5">
        <v>120</v>
      </c>
    </row>
    <row r="73" spans="1:6" x14ac:dyDescent="0.3">
      <c r="A73" s="4" t="s">
        <v>120</v>
      </c>
      <c r="B73" s="5">
        <v>113</v>
      </c>
      <c r="C73" s="16">
        <v>8.1999999999999993</v>
      </c>
      <c r="D73" s="5">
        <v>321</v>
      </c>
      <c r="E73" s="16">
        <v>15.67</v>
      </c>
      <c r="F73" s="5">
        <v>162</v>
      </c>
    </row>
    <row r="74" spans="1:6" x14ac:dyDescent="0.3">
      <c r="A74" s="4" t="s">
        <v>120</v>
      </c>
      <c r="B74" s="5">
        <v>120</v>
      </c>
      <c r="C74" s="16">
        <v>9.6999999999999993</v>
      </c>
      <c r="D74" s="5">
        <v>336</v>
      </c>
      <c r="E74" s="16">
        <v>17.82</v>
      </c>
      <c r="F74" s="5">
        <v>172</v>
      </c>
    </row>
    <row r="75" spans="1:6" x14ac:dyDescent="0.3">
      <c r="A75" s="4" t="s">
        <v>120</v>
      </c>
      <c r="B75" s="5">
        <v>126</v>
      </c>
      <c r="C75" s="16">
        <v>6</v>
      </c>
      <c r="D75" s="5">
        <v>337</v>
      </c>
      <c r="E75" s="16">
        <v>13.24</v>
      </c>
      <c r="F75" s="5">
        <v>174</v>
      </c>
    </row>
    <row r="76" spans="1:6" x14ac:dyDescent="0.3">
      <c r="A76" s="4" t="s">
        <v>120</v>
      </c>
      <c r="B76" s="5">
        <v>132</v>
      </c>
      <c r="C76" s="16">
        <v>11.7</v>
      </c>
      <c r="D76" s="5">
        <v>337</v>
      </c>
      <c r="E76" s="16">
        <v>11.52</v>
      </c>
      <c r="F76" s="5">
        <v>173</v>
      </c>
    </row>
    <row r="77" spans="1:6" x14ac:dyDescent="0.3">
      <c r="A77" s="4" t="s">
        <v>120</v>
      </c>
      <c r="B77" s="5">
        <v>138</v>
      </c>
      <c r="C77" s="16">
        <v>12.4</v>
      </c>
      <c r="D77" s="5">
        <v>334</v>
      </c>
      <c r="E77" s="16">
        <v>12.19</v>
      </c>
      <c r="F77" s="5">
        <v>173</v>
      </c>
    </row>
    <row r="78" spans="1:6" x14ac:dyDescent="0.3">
      <c r="A78" s="4" t="s">
        <v>120</v>
      </c>
      <c r="B78" s="5">
        <v>144</v>
      </c>
      <c r="C78" s="16">
        <v>12.7</v>
      </c>
      <c r="D78" s="5">
        <v>328</v>
      </c>
      <c r="E78" s="16">
        <v>17.25</v>
      </c>
      <c r="F78" s="5">
        <v>174</v>
      </c>
    </row>
    <row r="79" spans="1:6" x14ac:dyDescent="0.3">
      <c r="A79" s="4" t="s">
        <v>120</v>
      </c>
      <c r="B79" s="5">
        <v>151</v>
      </c>
      <c r="C79" s="16">
        <v>12.4</v>
      </c>
      <c r="D79" s="5">
        <v>347</v>
      </c>
      <c r="E79" s="16">
        <v>14.13</v>
      </c>
      <c r="F79" s="5">
        <v>174</v>
      </c>
    </row>
    <row r="80" spans="1:6" x14ac:dyDescent="0.3">
      <c r="A80" s="4" t="s">
        <v>120</v>
      </c>
      <c r="B80" s="5">
        <v>157</v>
      </c>
      <c r="C80" s="16">
        <v>13</v>
      </c>
      <c r="D80" s="5">
        <v>348</v>
      </c>
      <c r="E80" s="16">
        <v>13.74</v>
      </c>
      <c r="F80" s="5">
        <v>174</v>
      </c>
    </row>
    <row r="81" spans="1:6" x14ac:dyDescent="0.3">
      <c r="A81" s="4" t="s">
        <v>120</v>
      </c>
      <c r="B81" s="5">
        <v>164</v>
      </c>
      <c r="C81" s="16">
        <v>12</v>
      </c>
      <c r="D81" s="5">
        <v>337</v>
      </c>
      <c r="E81" s="16">
        <v>11.41</v>
      </c>
      <c r="F81" s="5">
        <v>174</v>
      </c>
    </row>
    <row r="82" spans="1:6" x14ac:dyDescent="0.3">
      <c r="A82" s="4" t="s">
        <v>120</v>
      </c>
      <c r="B82" s="5">
        <v>170</v>
      </c>
      <c r="C82" s="16">
        <v>12.5</v>
      </c>
      <c r="D82" s="5">
        <v>351</v>
      </c>
      <c r="E82" s="16">
        <v>15.86</v>
      </c>
      <c r="F82" s="5">
        <v>174</v>
      </c>
    </row>
    <row r="83" spans="1:6" x14ac:dyDescent="0.3">
      <c r="A83" s="4" t="s">
        <v>120</v>
      </c>
      <c r="B83" s="5">
        <v>177</v>
      </c>
      <c r="C83" s="16">
        <v>12.1</v>
      </c>
      <c r="D83" s="5">
        <v>353</v>
      </c>
      <c r="E83" s="16">
        <v>10.74</v>
      </c>
      <c r="F83" s="5">
        <v>173</v>
      </c>
    </row>
    <row r="84" spans="1:6" x14ac:dyDescent="0.3">
      <c r="A84" s="4" t="s">
        <v>120</v>
      </c>
      <c r="B84" s="5">
        <v>183</v>
      </c>
      <c r="C84" s="16">
        <v>12.5</v>
      </c>
      <c r="D84" s="5">
        <v>351</v>
      </c>
      <c r="E84" s="16">
        <v>14.38</v>
      </c>
      <c r="F84" s="5">
        <v>173</v>
      </c>
    </row>
    <row r="85" spans="1:6" x14ac:dyDescent="0.3">
      <c r="A85" s="4" t="s">
        <v>120</v>
      </c>
      <c r="B85" s="5">
        <v>189</v>
      </c>
      <c r="C85" s="16">
        <v>13</v>
      </c>
      <c r="D85" s="5">
        <v>359</v>
      </c>
      <c r="E85" s="16">
        <v>12.83</v>
      </c>
      <c r="F85" s="5">
        <v>173</v>
      </c>
    </row>
    <row r="86" spans="1:6" x14ac:dyDescent="0.3">
      <c r="A86" s="4" t="s">
        <v>120</v>
      </c>
      <c r="B86" s="5">
        <v>196</v>
      </c>
      <c r="C86" s="16">
        <v>12.5</v>
      </c>
      <c r="D86" s="5">
        <v>346</v>
      </c>
      <c r="E86" s="16">
        <v>16.36</v>
      </c>
      <c r="F86" s="5">
        <v>174</v>
      </c>
    </row>
    <row r="87" spans="1:6" x14ac:dyDescent="0.3">
      <c r="A87" s="4" t="s">
        <v>120</v>
      </c>
      <c r="B87" s="5">
        <v>202</v>
      </c>
      <c r="C87" s="16">
        <v>12.4</v>
      </c>
      <c r="D87" s="5">
        <v>362</v>
      </c>
      <c r="E87" s="16">
        <v>11.38</v>
      </c>
      <c r="F87" s="5">
        <v>173</v>
      </c>
    </row>
    <row r="88" spans="1:6" x14ac:dyDescent="0.3">
      <c r="A88" s="4" t="s">
        <v>120</v>
      </c>
      <c r="B88" s="5">
        <v>208</v>
      </c>
      <c r="C88" s="16">
        <v>12.6</v>
      </c>
      <c r="D88" s="5">
        <v>366</v>
      </c>
      <c r="E88" s="16">
        <v>11.76</v>
      </c>
      <c r="F88" s="5">
        <v>174</v>
      </c>
    </row>
    <row r="89" spans="1:6" x14ac:dyDescent="0.3">
      <c r="A89" s="4" t="s">
        <v>120</v>
      </c>
      <c r="B89" s="5">
        <v>214</v>
      </c>
      <c r="C89" s="16">
        <v>11.5</v>
      </c>
      <c r="D89" s="5">
        <v>362</v>
      </c>
      <c r="E89" s="16">
        <v>12.95</v>
      </c>
      <c r="F89" s="5">
        <v>174</v>
      </c>
    </row>
    <row r="90" spans="1:6" x14ac:dyDescent="0.3">
      <c r="A90" s="4" t="s">
        <v>120</v>
      </c>
      <c r="B90" s="5">
        <v>221</v>
      </c>
      <c r="C90" s="16">
        <v>12.4</v>
      </c>
      <c r="D90" s="5">
        <v>366</v>
      </c>
      <c r="E90" s="16">
        <v>16.2</v>
      </c>
      <c r="F90" s="5">
        <v>173</v>
      </c>
    </row>
    <row r="91" spans="1:6" x14ac:dyDescent="0.3">
      <c r="A91" s="4" t="s">
        <v>120</v>
      </c>
      <c r="B91" s="5">
        <v>228</v>
      </c>
      <c r="C91" s="16">
        <v>12.4</v>
      </c>
      <c r="D91" s="5">
        <v>361</v>
      </c>
      <c r="E91" s="16">
        <v>10.49</v>
      </c>
      <c r="F91" s="5">
        <v>174</v>
      </c>
    </row>
    <row r="92" spans="1:6" x14ac:dyDescent="0.3">
      <c r="A92" s="4" t="s">
        <v>120</v>
      </c>
      <c r="B92" s="5">
        <v>234</v>
      </c>
      <c r="C92" s="16">
        <v>12.6</v>
      </c>
      <c r="D92" s="5">
        <v>364</v>
      </c>
      <c r="E92" s="16">
        <v>15.55</v>
      </c>
      <c r="F92" s="5">
        <v>173</v>
      </c>
    </row>
    <row r="93" spans="1:6" x14ac:dyDescent="0.3">
      <c r="A93" s="4" t="s">
        <v>120</v>
      </c>
      <c r="B93" s="5">
        <v>240</v>
      </c>
      <c r="C93" s="16">
        <v>12.4</v>
      </c>
      <c r="D93" s="5">
        <v>362</v>
      </c>
      <c r="E93" s="16">
        <v>10.83</v>
      </c>
      <c r="F93" s="5">
        <v>173</v>
      </c>
    </row>
    <row r="94" spans="1:6" x14ac:dyDescent="0.3">
      <c r="A94" s="4" t="s">
        <v>120</v>
      </c>
      <c r="B94" s="5">
        <v>247</v>
      </c>
      <c r="C94" s="16">
        <v>12.3</v>
      </c>
      <c r="D94" s="5">
        <v>365</v>
      </c>
      <c r="E94" s="16">
        <v>11.47</v>
      </c>
      <c r="F94" s="5">
        <v>173</v>
      </c>
    </row>
    <row r="95" spans="1:6" x14ac:dyDescent="0.3">
      <c r="A95" s="4" t="s">
        <v>120</v>
      </c>
      <c r="B95" s="5">
        <v>253</v>
      </c>
      <c r="C95" s="16">
        <v>12.3</v>
      </c>
      <c r="D95" s="5">
        <v>351</v>
      </c>
      <c r="E95" s="16">
        <v>10.56</v>
      </c>
      <c r="F95" s="5">
        <v>173</v>
      </c>
    </row>
    <row r="96" spans="1:6" x14ac:dyDescent="0.3">
      <c r="A96" s="4" t="s">
        <v>120</v>
      </c>
      <c r="B96" s="5">
        <v>259</v>
      </c>
      <c r="C96" s="16">
        <v>10.4</v>
      </c>
      <c r="D96" s="5">
        <v>365</v>
      </c>
      <c r="E96" s="16">
        <v>5.55</v>
      </c>
      <c r="F96" s="5">
        <v>174</v>
      </c>
    </row>
    <row r="97" spans="1:6" x14ac:dyDescent="0.3">
      <c r="A97" s="4" t="s">
        <v>120</v>
      </c>
      <c r="B97" s="5">
        <v>266</v>
      </c>
      <c r="C97" s="16">
        <v>2.7</v>
      </c>
      <c r="D97" s="5">
        <v>368</v>
      </c>
      <c r="E97" s="16">
        <v>0</v>
      </c>
      <c r="F97" s="5">
        <v>170</v>
      </c>
    </row>
    <row r="98" spans="1:6" x14ac:dyDescent="0.3">
      <c r="A98" s="4" t="s">
        <v>120</v>
      </c>
      <c r="B98" s="5">
        <v>272</v>
      </c>
      <c r="C98" s="16">
        <v>0.1</v>
      </c>
      <c r="D98" s="5">
        <v>368</v>
      </c>
      <c r="E98" s="16">
        <v>2.34</v>
      </c>
      <c r="F98" s="5">
        <v>172</v>
      </c>
    </row>
    <row r="100" spans="1:6" x14ac:dyDescent="0.3">
      <c r="A100" s="4" t="s">
        <v>121</v>
      </c>
      <c r="B100" s="5">
        <v>0</v>
      </c>
      <c r="C100" s="16">
        <v>0.2</v>
      </c>
      <c r="D100" s="5">
        <v>159</v>
      </c>
      <c r="E100" s="16">
        <v>1.91</v>
      </c>
      <c r="F100" s="5">
        <v>173</v>
      </c>
    </row>
    <row r="101" spans="1:6" x14ac:dyDescent="0.3">
      <c r="A101" s="4" t="s">
        <v>121</v>
      </c>
      <c r="B101" s="5">
        <v>6</v>
      </c>
      <c r="C101" s="16">
        <v>0.6</v>
      </c>
      <c r="D101" s="5">
        <v>168</v>
      </c>
      <c r="E101" s="16">
        <v>0.65</v>
      </c>
      <c r="F101" s="5">
        <v>173</v>
      </c>
    </row>
    <row r="102" spans="1:6" x14ac:dyDescent="0.3">
      <c r="A102" s="4" t="s">
        <v>121</v>
      </c>
      <c r="B102" s="5">
        <v>13</v>
      </c>
      <c r="C102" s="16">
        <v>1</v>
      </c>
      <c r="D102" s="5">
        <v>167</v>
      </c>
      <c r="E102" s="16">
        <v>0.16</v>
      </c>
      <c r="F102" s="5">
        <v>171</v>
      </c>
    </row>
    <row r="103" spans="1:6" x14ac:dyDescent="0.3">
      <c r="A103" s="4" t="s">
        <v>121</v>
      </c>
      <c r="B103" s="5">
        <v>19</v>
      </c>
      <c r="C103" s="16">
        <v>1.1000000000000001</v>
      </c>
      <c r="D103" s="5">
        <v>182</v>
      </c>
      <c r="E103" s="16">
        <v>2.27</v>
      </c>
      <c r="F103" s="5">
        <v>170</v>
      </c>
    </row>
    <row r="104" spans="1:6" x14ac:dyDescent="0.3">
      <c r="A104" s="4" t="s">
        <v>121</v>
      </c>
      <c r="B104" s="5">
        <v>26</v>
      </c>
      <c r="C104" s="16">
        <v>8.3000000000000007</v>
      </c>
      <c r="D104" s="5">
        <v>199</v>
      </c>
      <c r="E104" s="16">
        <v>18.260000000000002</v>
      </c>
      <c r="F104" s="5">
        <v>172</v>
      </c>
    </row>
    <row r="105" spans="1:6" x14ac:dyDescent="0.3">
      <c r="A105" s="4" t="s">
        <v>121</v>
      </c>
      <c r="B105" s="5">
        <v>32</v>
      </c>
      <c r="C105" s="16">
        <v>13.1</v>
      </c>
      <c r="D105" s="5">
        <v>296</v>
      </c>
      <c r="E105" s="16">
        <v>23.7</v>
      </c>
      <c r="F105" s="5">
        <v>172</v>
      </c>
    </row>
    <row r="106" spans="1:6" x14ac:dyDescent="0.3">
      <c r="A106" s="4" t="s">
        <v>121</v>
      </c>
      <c r="B106" s="5">
        <v>38</v>
      </c>
      <c r="C106" s="16">
        <v>11.7</v>
      </c>
      <c r="D106" s="5">
        <v>355</v>
      </c>
      <c r="E106" s="16">
        <v>14.79</v>
      </c>
      <c r="F106" s="5">
        <v>173</v>
      </c>
    </row>
    <row r="107" spans="1:6" x14ac:dyDescent="0.3">
      <c r="A107" s="4" t="s">
        <v>121</v>
      </c>
      <c r="B107" s="5">
        <v>45</v>
      </c>
      <c r="C107" s="16">
        <v>12.2</v>
      </c>
      <c r="D107" s="5">
        <v>364</v>
      </c>
      <c r="E107" s="16">
        <v>12.41</v>
      </c>
      <c r="F107" s="5">
        <v>174</v>
      </c>
    </row>
    <row r="108" spans="1:6" x14ac:dyDescent="0.3">
      <c r="A108" s="4" t="s">
        <v>121</v>
      </c>
      <c r="B108" s="5">
        <v>51</v>
      </c>
      <c r="C108" s="16">
        <v>12.8</v>
      </c>
      <c r="D108" s="5">
        <v>359</v>
      </c>
      <c r="E108" s="16">
        <v>12.96</v>
      </c>
      <c r="F108" s="5">
        <v>174</v>
      </c>
    </row>
    <row r="109" spans="1:6" x14ac:dyDescent="0.3">
      <c r="A109" s="4" t="s">
        <v>121</v>
      </c>
      <c r="B109" s="5">
        <v>57</v>
      </c>
      <c r="C109" s="16">
        <v>12</v>
      </c>
      <c r="D109" s="5">
        <v>373</v>
      </c>
      <c r="E109" s="16">
        <v>11.92</v>
      </c>
      <c r="F109" s="5">
        <v>175</v>
      </c>
    </row>
    <row r="110" spans="1:6" x14ac:dyDescent="0.3">
      <c r="A110" s="4" t="s">
        <v>121</v>
      </c>
      <c r="B110" s="5">
        <v>64</v>
      </c>
      <c r="C110" s="16">
        <v>12.3</v>
      </c>
      <c r="D110" s="5">
        <v>362</v>
      </c>
      <c r="E110" s="16">
        <v>15.89</v>
      </c>
      <c r="F110" s="5">
        <v>174</v>
      </c>
    </row>
    <row r="111" spans="1:6" x14ac:dyDescent="0.3">
      <c r="A111" s="4" t="s">
        <v>121</v>
      </c>
      <c r="B111" s="5">
        <v>70</v>
      </c>
      <c r="C111" s="16">
        <v>12</v>
      </c>
      <c r="D111" s="5">
        <v>370</v>
      </c>
      <c r="E111" s="16">
        <v>14.95</v>
      </c>
      <c r="F111" s="5">
        <v>174</v>
      </c>
    </row>
    <row r="112" spans="1:6" x14ac:dyDescent="0.3">
      <c r="A112" s="4" t="s">
        <v>121</v>
      </c>
      <c r="B112" s="5">
        <v>76</v>
      </c>
      <c r="C112" s="16">
        <v>12.4</v>
      </c>
      <c r="D112" s="5">
        <v>367</v>
      </c>
      <c r="E112" s="16">
        <v>14.91</v>
      </c>
      <c r="F112" s="5">
        <v>174</v>
      </c>
    </row>
    <row r="113" spans="1:6" x14ac:dyDescent="0.3">
      <c r="A113" s="4" t="s">
        <v>121</v>
      </c>
      <c r="B113" s="5">
        <v>82</v>
      </c>
      <c r="C113" s="16">
        <v>12.4</v>
      </c>
      <c r="D113" s="5">
        <v>369</v>
      </c>
      <c r="E113" s="16">
        <v>2.34</v>
      </c>
      <c r="F113" s="5">
        <v>174</v>
      </c>
    </row>
    <row r="114" spans="1:6" x14ac:dyDescent="0.3">
      <c r="A114" s="4" t="s">
        <v>121</v>
      </c>
      <c r="B114" s="5">
        <v>89</v>
      </c>
      <c r="C114" s="16">
        <v>2.2999999999999998</v>
      </c>
      <c r="D114" s="5">
        <v>369</v>
      </c>
      <c r="E114" s="16">
        <v>1.98</v>
      </c>
      <c r="F114" s="5">
        <v>173</v>
      </c>
    </row>
    <row r="115" spans="1:6" x14ac:dyDescent="0.3">
      <c r="A115" s="4" t="s">
        <v>121</v>
      </c>
      <c r="B115" s="5">
        <v>96</v>
      </c>
      <c r="C115" s="16">
        <v>1.5</v>
      </c>
      <c r="D115" s="5">
        <v>369</v>
      </c>
      <c r="E115" s="16">
        <v>3.65</v>
      </c>
      <c r="F115" s="5">
        <v>173</v>
      </c>
    </row>
    <row r="116" spans="1:6" x14ac:dyDescent="0.3">
      <c r="A116" s="4" t="s">
        <v>121</v>
      </c>
      <c r="B116" s="5">
        <v>102</v>
      </c>
      <c r="C116" s="16">
        <v>1.4</v>
      </c>
      <c r="D116" s="5">
        <v>370</v>
      </c>
      <c r="E116" s="16">
        <v>2.4300000000000002</v>
      </c>
      <c r="F116" s="5">
        <v>171</v>
      </c>
    </row>
    <row r="117" spans="1:6" x14ac:dyDescent="0.3">
      <c r="A117" s="4" t="s">
        <v>121</v>
      </c>
      <c r="B117" s="5">
        <v>108</v>
      </c>
      <c r="C117" s="16">
        <v>1.3</v>
      </c>
      <c r="D117" s="5">
        <v>371</v>
      </c>
      <c r="E117" s="16">
        <v>1.99</v>
      </c>
      <c r="F117" s="5">
        <v>173</v>
      </c>
    </row>
    <row r="118" spans="1:6" x14ac:dyDescent="0.3">
      <c r="A118" s="4" t="s">
        <v>121</v>
      </c>
      <c r="B118" s="5">
        <v>115</v>
      </c>
      <c r="C118" s="16">
        <v>1</v>
      </c>
      <c r="D118" s="5">
        <v>373</v>
      </c>
      <c r="E118" s="16">
        <v>2.29</v>
      </c>
      <c r="F118" s="5">
        <v>169</v>
      </c>
    </row>
    <row r="119" spans="1:6" x14ac:dyDescent="0.3">
      <c r="A119" s="4" t="s">
        <v>121</v>
      </c>
      <c r="B119" s="5">
        <v>121</v>
      </c>
      <c r="C119" s="16">
        <v>1.4</v>
      </c>
      <c r="D119" s="5">
        <v>351</v>
      </c>
      <c r="E119" s="16">
        <v>3.71</v>
      </c>
      <c r="F119" s="5">
        <v>171</v>
      </c>
    </row>
    <row r="120" spans="1:6" x14ac:dyDescent="0.3">
      <c r="A120" s="4" t="s">
        <v>121</v>
      </c>
      <c r="B120" s="5">
        <v>127</v>
      </c>
      <c r="C120" s="16">
        <v>0.5</v>
      </c>
      <c r="D120" s="5">
        <v>352</v>
      </c>
      <c r="E120" s="16">
        <v>0</v>
      </c>
      <c r="F120" s="5">
        <v>169</v>
      </c>
    </row>
    <row r="122" spans="1:6" x14ac:dyDescent="0.3">
      <c r="A122" s="4" t="s">
        <v>122</v>
      </c>
      <c r="B122" s="5">
        <v>0</v>
      </c>
      <c r="C122" s="16">
        <v>0.7</v>
      </c>
      <c r="D122" s="5">
        <v>179</v>
      </c>
      <c r="E122" s="16">
        <v>0.02</v>
      </c>
      <c r="F122" s="5">
        <v>172</v>
      </c>
    </row>
    <row r="123" spans="1:6" x14ac:dyDescent="0.3">
      <c r="A123" s="4" t="s">
        <v>122</v>
      </c>
      <c r="B123" s="5">
        <v>6</v>
      </c>
      <c r="C123" s="16">
        <v>0.3</v>
      </c>
      <c r="D123" s="5">
        <v>194</v>
      </c>
      <c r="E123" s="16">
        <v>0</v>
      </c>
      <c r="F123" s="5">
        <v>171</v>
      </c>
    </row>
    <row r="124" spans="1:6" x14ac:dyDescent="0.3">
      <c r="A124" s="4" t="s">
        <v>122</v>
      </c>
      <c r="B124" s="5">
        <v>12</v>
      </c>
      <c r="C124" s="16">
        <v>0.1</v>
      </c>
      <c r="D124" s="5">
        <v>196</v>
      </c>
      <c r="E124" s="16">
        <v>0.21</v>
      </c>
      <c r="F124" s="5">
        <v>171</v>
      </c>
    </row>
    <row r="125" spans="1:6" x14ac:dyDescent="0.3">
      <c r="A125" s="4" t="s">
        <v>122</v>
      </c>
      <c r="B125" s="5">
        <v>19</v>
      </c>
      <c r="C125" s="16">
        <v>0.1</v>
      </c>
      <c r="D125" s="5">
        <v>196</v>
      </c>
      <c r="E125" s="16">
        <v>0.22</v>
      </c>
      <c r="F125" s="5">
        <v>171</v>
      </c>
    </row>
    <row r="126" spans="1:6" x14ac:dyDescent="0.3">
      <c r="A126" s="4" t="s">
        <v>122</v>
      </c>
      <c r="B126" s="5">
        <v>26</v>
      </c>
      <c r="C126" s="16">
        <v>0.2</v>
      </c>
      <c r="D126" s="5">
        <v>196</v>
      </c>
      <c r="E126" s="16">
        <v>0.16</v>
      </c>
      <c r="F126" s="5">
        <v>171</v>
      </c>
    </row>
    <row r="127" spans="1:6" x14ac:dyDescent="0.3">
      <c r="A127" s="4" t="s">
        <v>122</v>
      </c>
      <c r="B127" s="5">
        <v>32</v>
      </c>
      <c r="C127" s="16">
        <v>0.3</v>
      </c>
      <c r="D127" s="5">
        <v>198</v>
      </c>
      <c r="E127" s="16">
        <v>0.01</v>
      </c>
      <c r="F127" s="5">
        <v>171</v>
      </c>
    </row>
    <row r="128" spans="1:6" x14ac:dyDescent="0.3">
      <c r="A128" s="4" t="s">
        <v>122</v>
      </c>
      <c r="B128" s="5">
        <v>38</v>
      </c>
      <c r="C128" s="16">
        <v>0.2</v>
      </c>
      <c r="D128" s="5">
        <v>196</v>
      </c>
      <c r="E128" s="16">
        <v>0</v>
      </c>
      <c r="F128" s="5">
        <v>171</v>
      </c>
    </row>
    <row r="129" spans="1:6" x14ac:dyDescent="0.3">
      <c r="A129" s="4" t="s">
        <v>122</v>
      </c>
      <c r="B129" s="5">
        <v>44</v>
      </c>
      <c r="C129" s="16">
        <v>0.2</v>
      </c>
      <c r="D129" s="5">
        <v>199</v>
      </c>
      <c r="E129" s="16">
        <v>2.4700000000000002</v>
      </c>
      <c r="F129" s="5">
        <v>172</v>
      </c>
    </row>
    <row r="130" spans="1:6" x14ac:dyDescent="0.3">
      <c r="A130" s="4" t="s">
        <v>122</v>
      </c>
      <c r="B130" s="5">
        <v>50</v>
      </c>
      <c r="C130" s="16">
        <v>0.5</v>
      </c>
      <c r="D130" s="5">
        <v>197</v>
      </c>
      <c r="E130" s="16">
        <v>0.57999999999999996</v>
      </c>
      <c r="F130" s="5">
        <v>172</v>
      </c>
    </row>
    <row r="131" spans="1:6" x14ac:dyDescent="0.3">
      <c r="A131" s="4" t="s">
        <v>122</v>
      </c>
      <c r="B131" s="5">
        <v>57</v>
      </c>
      <c r="C131" s="16">
        <v>0.6</v>
      </c>
      <c r="D131" s="5">
        <v>199</v>
      </c>
      <c r="E131" s="16">
        <v>0.3</v>
      </c>
      <c r="F131" s="5">
        <v>171</v>
      </c>
    </row>
    <row r="132" spans="1:6" x14ac:dyDescent="0.3">
      <c r="A132" s="4" t="s">
        <v>122</v>
      </c>
      <c r="B132" s="5">
        <v>63</v>
      </c>
      <c r="C132" s="16">
        <v>1.9</v>
      </c>
      <c r="D132" s="5">
        <v>198</v>
      </c>
      <c r="E132" s="16">
        <v>0.4</v>
      </c>
      <c r="F132" s="5">
        <v>171</v>
      </c>
    </row>
    <row r="133" spans="1:6" x14ac:dyDescent="0.3">
      <c r="A133" s="4" t="s">
        <v>122</v>
      </c>
      <c r="B133" s="5">
        <v>69</v>
      </c>
      <c r="C133" s="16">
        <v>2.4</v>
      </c>
      <c r="D133" s="5">
        <v>203</v>
      </c>
      <c r="E133" s="16">
        <v>2.27</v>
      </c>
      <c r="F133" s="5">
        <v>172</v>
      </c>
    </row>
    <row r="134" spans="1:6" x14ac:dyDescent="0.3">
      <c r="A134" s="4" t="s">
        <v>122</v>
      </c>
      <c r="B134" s="5">
        <v>76</v>
      </c>
      <c r="C134" s="16">
        <v>2.2999999999999998</v>
      </c>
      <c r="D134" s="5">
        <v>207</v>
      </c>
      <c r="E134" s="16">
        <v>0.19</v>
      </c>
      <c r="F134" s="5">
        <v>172</v>
      </c>
    </row>
    <row r="135" spans="1:6" x14ac:dyDescent="0.3">
      <c r="A135" s="4" t="s">
        <v>122</v>
      </c>
      <c r="B135" s="5">
        <v>82</v>
      </c>
      <c r="C135" s="16">
        <v>1.8</v>
      </c>
      <c r="D135" s="5">
        <v>205</v>
      </c>
      <c r="E135" s="16">
        <v>0.4</v>
      </c>
      <c r="F135" s="5">
        <v>172</v>
      </c>
    </row>
    <row r="136" spans="1:6" x14ac:dyDescent="0.3">
      <c r="A136" s="4" t="s">
        <v>122</v>
      </c>
      <c r="B136" s="5">
        <v>88</v>
      </c>
      <c r="C136" s="16">
        <v>1.7</v>
      </c>
      <c r="D136" s="5">
        <v>230</v>
      </c>
      <c r="E136" s="16">
        <v>0.18</v>
      </c>
      <c r="F136" s="5">
        <v>172</v>
      </c>
    </row>
    <row r="137" spans="1:6" x14ac:dyDescent="0.3">
      <c r="A137" s="4" t="s">
        <v>122</v>
      </c>
      <c r="B137" s="5">
        <v>94</v>
      </c>
      <c r="C137" s="16">
        <v>1.5</v>
      </c>
      <c r="D137" s="5">
        <v>222</v>
      </c>
      <c r="E137" s="16">
        <v>2.0699999999999998</v>
      </c>
      <c r="F137" s="5">
        <v>172</v>
      </c>
    </row>
    <row r="138" spans="1:6" x14ac:dyDescent="0.3">
      <c r="A138" s="4" t="s">
        <v>122</v>
      </c>
      <c r="B138" s="5">
        <v>100</v>
      </c>
      <c r="C138" s="16">
        <v>1.7</v>
      </c>
      <c r="D138" s="5">
        <v>228</v>
      </c>
      <c r="E138" s="16">
        <v>0.43</v>
      </c>
      <c r="F138" s="5">
        <v>172</v>
      </c>
    </row>
    <row r="139" spans="1:6" x14ac:dyDescent="0.3">
      <c r="A139" s="4" t="s">
        <v>122</v>
      </c>
      <c r="B139" s="5">
        <v>107</v>
      </c>
      <c r="C139" s="16">
        <v>1.5</v>
      </c>
      <c r="D139" s="5">
        <v>228</v>
      </c>
      <c r="E139" s="16">
        <v>0.25</v>
      </c>
      <c r="F139" s="5">
        <v>172</v>
      </c>
    </row>
    <row r="140" spans="1:6" x14ac:dyDescent="0.3">
      <c r="A140" s="4" t="s">
        <v>122</v>
      </c>
      <c r="B140" s="5">
        <v>113</v>
      </c>
      <c r="C140" s="16">
        <v>1.7</v>
      </c>
      <c r="D140" s="5">
        <v>228</v>
      </c>
      <c r="E140" s="16">
        <v>0.02</v>
      </c>
      <c r="F140" s="5">
        <v>171</v>
      </c>
    </row>
    <row r="141" spans="1:6" x14ac:dyDescent="0.3">
      <c r="A141" s="4" t="s">
        <v>122</v>
      </c>
      <c r="B141" s="5">
        <v>119</v>
      </c>
      <c r="C141" s="16">
        <v>1.9</v>
      </c>
      <c r="D141" s="5">
        <v>234</v>
      </c>
      <c r="E141" s="16">
        <v>3.1</v>
      </c>
      <c r="F141" s="5">
        <v>172</v>
      </c>
    </row>
    <row r="142" spans="1:6" x14ac:dyDescent="0.3">
      <c r="A142" s="4" t="s">
        <v>122</v>
      </c>
      <c r="B142" s="5">
        <v>126</v>
      </c>
      <c r="C142" s="16">
        <v>1.6</v>
      </c>
      <c r="D142" s="5">
        <v>234</v>
      </c>
      <c r="E142" s="16">
        <v>0.61</v>
      </c>
      <c r="F142" s="5">
        <v>172</v>
      </c>
    </row>
    <row r="143" spans="1:6" x14ac:dyDescent="0.3">
      <c r="A143" s="4" t="s">
        <v>122</v>
      </c>
      <c r="B143" s="5">
        <v>132</v>
      </c>
      <c r="C143" s="16">
        <v>2.7</v>
      </c>
      <c r="D143" s="5">
        <v>232</v>
      </c>
      <c r="E143" s="16">
        <v>0.17</v>
      </c>
      <c r="F143" s="5">
        <v>171</v>
      </c>
    </row>
    <row r="144" spans="1:6" x14ac:dyDescent="0.3">
      <c r="A144" s="4" t="s">
        <v>122</v>
      </c>
      <c r="B144" s="5">
        <v>138</v>
      </c>
      <c r="C144" s="16">
        <v>3</v>
      </c>
      <c r="D144" s="5">
        <v>242</v>
      </c>
      <c r="E144" s="16">
        <v>0.53</v>
      </c>
      <c r="F144" s="5">
        <v>172</v>
      </c>
    </row>
    <row r="145" spans="1:6" x14ac:dyDescent="0.3">
      <c r="A145" s="4" t="s">
        <v>122</v>
      </c>
      <c r="B145" s="5">
        <v>144</v>
      </c>
      <c r="C145" s="16">
        <v>2.8</v>
      </c>
      <c r="D145" s="5">
        <v>276</v>
      </c>
      <c r="E145" s="16">
        <v>0.19</v>
      </c>
      <c r="F145" s="5">
        <v>172</v>
      </c>
    </row>
    <row r="146" spans="1:6" x14ac:dyDescent="0.3">
      <c r="A146" s="4" t="s">
        <v>122</v>
      </c>
      <c r="B146" s="5">
        <v>151</v>
      </c>
      <c r="C146" s="16">
        <v>2.7</v>
      </c>
      <c r="D146" s="5">
        <v>333</v>
      </c>
      <c r="E146" s="16">
        <v>2.89</v>
      </c>
      <c r="F146" s="5">
        <v>173</v>
      </c>
    </row>
    <row r="147" spans="1:6" x14ac:dyDescent="0.3">
      <c r="A147" s="4" t="s">
        <v>122</v>
      </c>
      <c r="B147" s="5">
        <v>157</v>
      </c>
      <c r="C147" s="16">
        <v>2.8</v>
      </c>
      <c r="D147" s="5">
        <v>289</v>
      </c>
      <c r="E147" s="16">
        <v>0.33</v>
      </c>
      <c r="F147" s="5">
        <v>172</v>
      </c>
    </row>
    <row r="148" spans="1:6" x14ac:dyDescent="0.3">
      <c r="A148" s="4" t="s">
        <v>122</v>
      </c>
      <c r="B148" s="5">
        <v>163</v>
      </c>
      <c r="C148" s="16">
        <v>2.2999999999999998</v>
      </c>
      <c r="D148" s="5">
        <v>320</v>
      </c>
      <c r="E148" s="16">
        <v>0.01</v>
      </c>
      <c r="F148" s="5">
        <v>171</v>
      </c>
    </row>
    <row r="149" spans="1:6" x14ac:dyDescent="0.3">
      <c r="A149" s="4" t="s">
        <v>122</v>
      </c>
      <c r="B149" s="5">
        <v>170</v>
      </c>
      <c r="C149" s="16">
        <v>2.8</v>
      </c>
      <c r="D149" s="5">
        <v>350</v>
      </c>
      <c r="E149" s="16">
        <v>0.69</v>
      </c>
      <c r="F149" s="5">
        <v>169</v>
      </c>
    </row>
    <row r="150" spans="1:6" x14ac:dyDescent="0.3">
      <c r="A150" s="4" t="s">
        <v>122</v>
      </c>
      <c r="B150" s="5">
        <v>176</v>
      </c>
      <c r="C150" s="16">
        <v>2.9</v>
      </c>
      <c r="D150" s="5">
        <v>301</v>
      </c>
      <c r="E150" s="16">
        <v>2.6</v>
      </c>
      <c r="F150" s="5">
        <v>170</v>
      </c>
    </row>
    <row r="151" spans="1:6" x14ac:dyDescent="0.3">
      <c r="A151" s="4" t="s">
        <v>122</v>
      </c>
      <c r="B151" s="5">
        <v>182</v>
      </c>
      <c r="C151" s="16">
        <v>2.6</v>
      </c>
      <c r="D151" s="5">
        <v>326</v>
      </c>
      <c r="E151" s="16">
        <v>0.6</v>
      </c>
      <c r="F151" s="5">
        <v>170</v>
      </c>
    </row>
    <row r="152" spans="1:6" x14ac:dyDescent="0.3">
      <c r="A152" s="4" t="s">
        <v>122</v>
      </c>
      <c r="B152" s="5">
        <v>188</v>
      </c>
      <c r="C152" s="16">
        <v>2</v>
      </c>
      <c r="D152" s="5">
        <v>352</v>
      </c>
      <c r="E152" s="16">
        <v>0.38</v>
      </c>
      <c r="F152" s="5">
        <v>170</v>
      </c>
    </row>
    <row r="153" spans="1:6" x14ac:dyDescent="0.3">
      <c r="A153" s="4" t="s">
        <v>122</v>
      </c>
      <c r="B153" s="5">
        <v>194</v>
      </c>
      <c r="C153" s="16">
        <v>2.1</v>
      </c>
      <c r="D153" s="5">
        <v>300</v>
      </c>
      <c r="E153" s="16">
        <v>1.94</v>
      </c>
      <c r="F153" s="5">
        <v>168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21A8"/>
  </sheetPr>
  <dimension ref="A1:F10"/>
  <sheetViews>
    <sheetView showGridLines="0" workbookViewId="0"/>
  </sheetViews>
  <sheetFormatPr defaultRowHeight="14.4" x14ac:dyDescent="0.3"/>
  <cols>
    <col min="1" max="1" width="5" customWidth="1"/>
    <col min="2" max="2" width="26" customWidth="1"/>
    <col min="3" max="3" width="50" customWidth="1"/>
    <col min="4" max="4" width="40" customWidth="1"/>
    <col min="5" max="5" width="46" customWidth="1"/>
    <col min="6" max="6" width="12" customWidth="1"/>
  </cols>
  <sheetData>
    <row r="1" spans="1:6" ht="17.399999999999999" x14ac:dyDescent="0.3">
      <c r="A1" s="1" t="s">
        <v>138</v>
      </c>
    </row>
    <row r="2" spans="1:6" x14ac:dyDescent="0.3">
      <c r="A2" s="2" t="s">
        <v>139</v>
      </c>
    </row>
    <row r="4" spans="1:6" ht="31.95" customHeight="1" x14ac:dyDescent="0.3">
      <c r="A4" s="3" t="s">
        <v>140</v>
      </c>
      <c r="B4" s="3" t="s">
        <v>30</v>
      </c>
      <c r="C4" s="3" t="s">
        <v>141</v>
      </c>
      <c r="D4" s="3" t="s">
        <v>142</v>
      </c>
      <c r="E4" s="3" t="s">
        <v>143</v>
      </c>
      <c r="F4" s="3" t="s">
        <v>144</v>
      </c>
    </row>
    <row r="5" spans="1:6" ht="75" customHeight="1" x14ac:dyDescent="0.3">
      <c r="A5" s="17">
        <v>1</v>
      </c>
      <c r="B5" s="4" t="s">
        <v>145</v>
      </c>
      <c r="C5" s="4" t="s">
        <v>146</v>
      </c>
      <c r="D5" s="4" t="s">
        <v>147</v>
      </c>
      <c r="E5" s="4" t="s">
        <v>148</v>
      </c>
      <c r="F5" s="17" t="s">
        <v>149</v>
      </c>
    </row>
    <row r="6" spans="1:6" ht="75" customHeight="1" x14ac:dyDescent="0.3">
      <c r="A6" s="17">
        <v>2</v>
      </c>
      <c r="B6" s="4" t="s">
        <v>150</v>
      </c>
      <c r="C6" s="4" t="s">
        <v>151</v>
      </c>
      <c r="D6" s="4" t="s">
        <v>152</v>
      </c>
      <c r="E6" s="4" t="s">
        <v>153</v>
      </c>
      <c r="F6" s="17" t="s">
        <v>149</v>
      </c>
    </row>
    <row r="7" spans="1:6" ht="75" customHeight="1" x14ac:dyDescent="0.3">
      <c r="A7" s="17">
        <v>3</v>
      </c>
      <c r="B7" s="4" t="s">
        <v>154</v>
      </c>
      <c r="C7" s="4" t="s">
        <v>155</v>
      </c>
      <c r="D7" s="4" t="s">
        <v>156</v>
      </c>
      <c r="E7" s="4" t="s">
        <v>157</v>
      </c>
      <c r="F7" s="17" t="s">
        <v>158</v>
      </c>
    </row>
    <row r="8" spans="1:6" ht="75" customHeight="1" x14ac:dyDescent="0.3">
      <c r="A8" s="17">
        <v>4</v>
      </c>
      <c r="B8" s="4" t="s">
        <v>159</v>
      </c>
      <c r="C8" s="4" t="s">
        <v>160</v>
      </c>
      <c r="D8" s="4" t="s">
        <v>161</v>
      </c>
      <c r="E8" s="4" t="s">
        <v>162</v>
      </c>
      <c r="F8" s="17" t="s">
        <v>149</v>
      </c>
    </row>
    <row r="9" spans="1:6" ht="75" customHeight="1" x14ac:dyDescent="0.3">
      <c r="A9" s="17">
        <v>5</v>
      </c>
      <c r="B9" s="4" t="s">
        <v>124</v>
      </c>
      <c r="C9" s="4" t="s">
        <v>163</v>
      </c>
      <c r="D9" s="4" t="s">
        <v>164</v>
      </c>
      <c r="E9" s="4" t="s">
        <v>165</v>
      </c>
      <c r="F9" s="17" t="s">
        <v>149</v>
      </c>
    </row>
    <row r="10" spans="1:6" ht="75" customHeight="1" x14ac:dyDescent="0.3">
      <c r="A10" s="17">
        <v>6</v>
      </c>
      <c r="B10" s="4" t="s">
        <v>166</v>
      </c>
      <c r="C10" s="4" t="s">
        <v>167</v>
      </c>
      <c r="D10" s="4" t="s">
        <v>168</v>
      </c>
      <c r="E10" s="4" t="s">
        <v>169</v>
      </c>
      <c r="F10" s="17" t="s">
        <v>149</v>
      </c>
    </row>
  </sheetData>
  <conditionalFormatting sqref="F5:F10">
    <cfRule type="cellIs" dxfId="2" priority="1" operator="equal">
      <formula>"สูง"</formula>
    </cfRule>
    <cfRule type="cellIs" dxfId="1" priority="2" operator="equal">
      <formula>"กลาง"</formula>
    </cfRule>
    <cfRule type="cellIs" dxfId="0" priority="3" operator="equal">
      <formula>"ต่ำ"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สรุปผล</vt:lpstr>
      <vt:lpstr>วิธีทดสอบและเกณฑ์</vt:lpstr>
      <vt:lpstr>ผลรายเส้น API</vt:lpstr>
      <vt:lpstr>ผลตามช่วงเวลา</vt:lpstr>
      <vt:lpstr>ทรัพยากรเครื่อง</vt:lpstr>
      <vt:lpstr>ข้อสังเกต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Nanthpat Limcharoen</cp:lastModifiedBy>
  <dcterms:created xsi:type="dcterms:W3CDTF">2026-10-23T09:51:22Z</dcterms:created>
  <dcterms:modified xsi:type="dcterms:W3CDTF">2026-10-23T09:51:25Z</dcterms:modified>
</cp:coreProperties>
</file>