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ปี4_1\ปัญหาพิเศษ\systemboq\perf-tests\"/>
    </mc:Choice>
  </mc:AlternateContent>
  <xr:revisionPtr revIDLastSave="0" documentId="13_ncr:1_{B9BD2337-CF37-4BB6-AC1B-1AD8D727BC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สรุปผล" sheetId="1" r:id="rId1"/>
    <sheet name="เทียบรอบ" sheetId="2" r:id="rId2"/>
    <sheet name="วิธีทดสอบและเกณฑ์" sheetId="3" r:id="rId3"/>
    <sheet name="ผลรายเส้น API" sheetId="4" r:id="rId4"/>
    <sheet name="ผลตามช่วงเวลา" sheetId="5" r:id="rId5"/>
    <sheet name="ทรัพยากรเครื่อง" sheetId="6" r:id="rId6"/>
    <sheet name="ข้อสังเกต" sheetId="7" r:id="rId7"/>
  </sheets>
  <definedNames>
    <definedName name="_xlnm._FilterDatabase" localSheetId="3" hidden="1">'ผลรายเส้น API'!$A$4:$M$65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5" l="1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1" i="5"/>
  <c r="E51" i="5"/>
  <c r="G50" i="5"/>
  <c r="E50" i="5"/>
  <c r="G49" i="5"/>
  <c r="E49" i="5"/>
  <c r="G48" i="5"/>
  <c r="E48" i="5"/>
  <c r="G47" i="5"/>
  <c r="E47" i="5"/>
  <c r="G46" i="5"/>
  <c r="E46" i="5"/>
  <c r="G45" i="5"/>
  <c r="E45" i="5"/>
  <c r="G44" i="5"/>
  <c r="E44" i="5"/>
  <c r="G43" i="5"/>
  <c r="E43" i="5"/>
  <c r="G41" i="5"/>
  <c r="E41" i="5"/>
  <c r="G40" i="5"/>
  <c r="E40" i="5"/>
  <c r="G39" i="5"/>
  <c r="E39" i="5"/>
  <c r="G38" i="5"/>
  <c r="E38" i="5"/>
  <c r="G37" i="5"/>
  <c r="E37" i="5"/>
  <c r="G36" i="5"/>
  <c r="E36" i="5"/>
  <c r="G35" i="5"/>
  <c r="E35" i="5"/>
  <c r="G34" i="5"/>
  <c r="E34" i="5"/>
  <c r="G33" i="5"/>
  <c r="E33" i="5"/>
  <c r="G32" i="5"/>
  <c r="E32" i="5"/>
  <c r="G31" i="5"/>
  <c r="E31" i="5"/>
  <c r="G30" i="5"/>
  <c r="E30" i="5"/>
  <c r="G29" i="5"/>
  <c r="E29" i="5"/>
  <c r="G28" i="5"/>
  <c r="E28" i="5"/>
  <c r="G27" i="5"/>
  <c r="E27" i="5"/>
  <c r="G26" i="5"/>
  <c r="E26" i="5"/>
  <c r="G25" i="5"/>
  <c r="E25" i="5"/>
  <c r="G24" i="5"/>
  <c r="E24" i="5"/>
  <c r="G22" i="5"/>
  <c r="E22" i="5"/>
  <c r="G21" i="5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F65" i="4"/>
  <c r="M65" i="4" s="1"/>
  <c r="J9" i="1" s="1"/>
  <c r="K9" i="1" s="1"/>
  <c r="F64" i="4"/>
  <c r="M64" i="4" s="1"/>
  <c r="F63" i="4"/>
  <c r="M63" i="4" s="1"/>
  <c r="F62" i="4"/>
  <c r="M62" i="4" s="1"/>
  <c r="F61" i="4"/>
  <c r="M61" i="4" s="1"/>
  <c r="F60" i="4"/>
  <c r="M60" i="4" s="1"/>
  <c r="F59" i="4"/>
  <c r="M59" i="4" s="1"/>
  <c r="F58" i="4"/>
  <c r="M58" i="4" s="1"/>
  <c r="F57" i="4"/>
  <c r="M57" i="4" s="1"/>
  <c r="F56" i="4"/>
  <c r="M56" i="4" s="1"/>
  <c r="F55" i="4"/>
  <c r="M55" i="4" s="1"/>
  <c r="F54" i="4"/>
  <c r="M54" i="4" s="1"/>
  <c r="F53" i="4"/>
  <c r="M53" i="4" s="1"/>
  <c r="F52" i="4"/>
  <c r="M52" i="4" s="1"/>
  <c r="F51" i="4"/>
  <c r="M51" i="4" s="1"/>
  <c r="F50" i="4"/>
  <c r="M50" i="4" s="1"/>
  <c r="J8" i="1" s="1"/>
  <c r="K8" i="1" s="1"/>
  <c r="F49" i="4"/>
  <c r="M49" i="4" s="1"/>
  <c r="F48" i="4"/>
  <c r="M48" i="4" s="1"/>
  <c r="F47" i="4"/>
  <c r="M47" i="4" s="1"/>
  <c r="F46" i="4"/>
  <c r="M46" i="4" s="1"/>
  <c r="F45" i="4"/>
  <c r="M45" i="4" s="1"/>
  <c r="J7" i="1" s="1"/>
  <c r="K7" i="1" s="1"/>
  <c r="F44" i="4"/>
  <c r="M44" i="4" s="1"/>
  <c r="F43" i="4"/>
  <c r="M43" i="4" s="1"/>
  <c r="F42" i="4"/>
  <c r="M42" i="4" s="1"/>
  <c r="F41" i="4"/>
  <c r="M41" i="4" s="1"/>
  <c r="F40" i="4"/>
  <c r="M40" i="4" s="1"/>
  <c r="F39" i="4"/>
  <c r="M39" i="4" s="1"/>
  <c r="F38" i="4"/>
  <c r="M38" i="4" s="1"/>
  <c r="F37" i="4"/>
  <c r="M37" i="4" s="1"/>
  <c r="F36" i="4"/>
  <c r="M36" i="4" s="1"/>
  <c r="F35" i="4"/>
  <c r="M35" i="4" s="1"/>
  <c r="F34" i="4"/>
  <c r="M34" i="4" s="1"/>
  <c r="F33" i="4"/>
  <c r="M33" i="4" s="1"/>
  <c r="F32" i="4"/>
  <c r="M32" i="4" s="1"/>
  <c r="F31" i="4"/>
  <c r="M31" i="4" s="1"/>
  <c r="F30" i="4"/>
  <c r="M30" i="4" s="1"/>
  <c r="F29" i="4"/>
  <c r="M29" i="4" s="1"/>
  <c r="F28" i="4"/>
  <c r="M28" i="4" s="1"/>
  <c r="F27" i="4"/>
  <c r="M27" i="4" s="1"/>
  <c r="F26" i="4"/>
  <c r="M26" i="4" s="1"/>
  <c r="F25" i="4"/>
  <c r="M25" i="4" s="1"/>
  <c r="F24" i="4"/>
  <c r="M24" i="4" s="1"/>
  <c r="F23" i="4"/>
  <c r="M23" i="4" s="1"/>
  <c r="F22" i="4"/>
  <c r="M22" i="4" s="1"/>
  <c r="F21" i="4"/>
  <c r="M21" i="4" s="1"/>
  <c r="F20" i="4"/>
  <c r="M20" i="4" s="1"/>
  <c r="J6" i="1" s="1"/>
  <c r="K6" i="1" s="1"/>
  <c r="F19" i="4"/>
  <c r="M19" i="4" s="1"/>
  <c r="F18" i="4"/>
  <c r="M18" i="4" s="1"/>
  <c r="F17" i="4"/>
  <c r="M17" i="4" s="1"/>
  <c r="F16" i="4"/>
  <c r="M16" i="4" s="1"/>
  <c r="F15" i="4"/>
  <c r="M15" i="4" s="1"/>
  <c r="F14" i="4"/>
  <c r="M14" i="4" s="1"/>
  <c r="F13" i="4"/>
  <c r="M13" i="4" s="1"/>
  <c r="F12" i="4"/>
  <c r="M12" i="4" s="1"/>
  <c r="F11" i="4"/>
  <c r="M11" i="4" s="1"/>
  <c r="F10" i="4"/>
  <c r="M10" i="4" s="1"/>
  <c r="F9" i="4"/>
  <c r="M9" i="4" s="1"/>
  <c r="F8" i="4"/>
  <c r="M8" i="4" s="1"/>
  <c r="F7" i="4"/>
  <c r="M7" i="4" s="1"/>
  <c r="F6" i="4"/>
  <c r="M6" i="4" s="1"/>
  <c r="F5" i="4"/>
  <c r="M5" i="4" s="1"/>
  <c r="J5" i="1" s="1"/>
  <c r="K5" i="1" s="1"/>
  <c r="D88" i="2"/>
  <c r="D87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J9" i="2"/>
  <c r="I9" i="2"/>
  <c r="H9" i="2"/>
  <c r="E9" i="2"/>
  <c r="J8" i="2"/>
  <c r="I8" i="2"/>
  <c r="H8" i="2"/>
  <c r="E8" i="2"/>
  <c r="J7" i="2"/>
  <c r="I7" i="2"/>
  <c r="H7" i="2"/>
  <c r="E7" i="2"/>
  <c r="J6" i="2"/>
  <c r="I6" i="2"/>
  <c r="H6" i="2"/>
  <c r="E6" i="2"/>
  <c r="J5" i="2"/>
  <c r="I5" i="2"/>
  <c r="H5" i="2"/>
  <c r="E5" i="2"/>
  <c r="E9" i="1"/>
  <c r="D9" i="1"/>
  <c r="E8" i="1"/>
  <c r="D8" i="1"/>
  <c r="E7" i="1"/>
  <c r="D7" i="1"/>
  <c r="E6" i="1"/>
  <c r="D6" i="1"/>
  <c r="E5" i="1"/>
  <c r="D5" i="1"/>
  <c r="E10" i="1" l="1"/>
  <c r="F9" i="1"/>
  <c r="G9" i="1"/>
  <c r="F8" i="1"/>
  <c r="G8" i="1"/>
  <c r="G7" i="1"/>
  <c r="F7" i="1"/>
  <c r="G6" i="1"/>
  <c r="F6" i="1"/>
  <c r="D10" i="1"/>
  <c r="G5" i="1"/>
  <c r="F5" i="1"/>
  <c r="F10" i="1" l="1"/>
</calcChain>
</file>

<file path=xl/sharedStrings.xml><?xml version="1.0" encoding="utf-8"?>
<sst xmlns="http://schemas.openxmlformats.org/spreadsheetml/2006/main" count="708" uniqueCount="223">
  <si>
    <t>รายงานผล Performance Test — SystemBOQ · รอบ 2 (หลังแก้)</t>
  </si>
  <si>
    <t>สร้างเมื่อ 23/10/2569 17:34 · ทดสอบบนเครื่องพัฒนาด้วย k6 · รายละเอียดวิธีทดสอบอยู่ที่แผ่นงาน 'วิธีทดสอบและเกณฑ์'</t>
  </si>
  <si>
    <t>รูปแบบ</t>
  </si>
  <si>
    <t>ผู้ใช้พร้อมกันสูงสุด</t>
  </si>
  <si>
    <t>ระยะเวลา (วินาที)</t>
  </si>
  <si>
    <t>จำนวนคำขอ</t>
  </si>
  <si>
    <t>ไม่สำเร็จ</t>
  </si>
  <si>
    <t>อัตรา error</t>
  </si>
  <si>
    <t>คำขอ/วินาที</t>
  </si>
  <si>
    <t>p95 ทั้งหมด (ms)</t>
  </si>
  <si>
    <t>ช้าสุด (ms)</t>
  </si>
  <si>
    <t>เส้นที่ไม่ผ่าน</t>
  </si>
  <si>
    <t>ผล</t>
  </si>
  <si>
    <t>Smoke test — ตรวจว่าทุกเส้นทำงาน</t>
  </si>
  <si>
    <t>Load test — ใช้งานปกติต่อเนื่อง</t>
  </si>
  <si>
    <t>Stress test — เพิ่มผู้ใช้จนเห็นขีดจำกัด</t>
  </si>
  <si>
    <t>Spike test — ผู้ใช้พุ่งขึ้นกะทันหัน</t>
  </si>
  <si>
    <t>PDF test — สร้าง PDF ใบเสนอราคาพร้อมกัน</t>
  </si>
  <si>
    <t>รวม</t>
  </si>
  <si>
    <t>สรุปสั้น</t>
  </si>
  <si>
    <t>• หลังแก้ (รอบ 2) ใช้งานปกติ 40 คน: p95 15 ms (รอบ 1 = 53 ms) · error 0% จาก 21,127 คำขอ — ผ่านทุกเส้น</t>
  </si>
  <si>
    <t>• Stress ถึง 300 คน: p95 21 ms (รอบ 1 = 907 ms) · รับได้ 297 คำขอ/วินาที (รอบ 1 = 177) และยังไม่เจอเพดาน — ช่วงพีคทำได้ ~645 คำขอ/วินาที (รอบ 1 ค้างที่ ~246)</t>
  </si>
  <si>
    <t>• Spike พุ่งเป็น 300 คน: p95 35 ms (รอบ 1 = 1,521 ms) · ทุกรูปแบบผ่านเกณฑ์ (รอบ 1 ไม่ผ่าน 2 รูปแบบ)</t>
  </si>
  <si>
    <t>• สาเหตุหลักที่ดีขึ้น = gzip: ข้อมูลที่ส่งต่อคำขอลดจาก 10.7 KB เหลือ 2.9 KB (stress) · CPU ของ API เท่าเดิม (~13%) แต่รับคำขอได้มากขึ้น — คอขวดรอบ 1 คือการส่งข้อมูลก้อนใหญ่ ไม่ใช่ CPU (แก้ข้อสรุปเดิมของรอบ 1)</t>
  </si>
  <si>
    <t>• อุ่น Chromium: PDF ใบแรกหลังเปิดเครื่องครั้งแรก 8.5 วิ → 1.8 วิ · ตอนแคชของระบบอุ่นแล้วต่างกันราว 0.5 วิ · PDF ใบต่อ ๆ ไป ~1.7–2.0 วิ เท่าเดิม (งานวาดของ Chromium ไม่ได้แก้)</t>
  </si>
  <si>
    <t>• ตัวเลขเป็นของเครื่องพัฒนา — ใช้เทียบก่อน/หลังแก้ ไม่ใช่ความสามารถจริงของ VPS (2 vCPU)</t>
  </si>
  <si>
    <t>เทียบผล รอบ 1 (ก่อนแก้) กับ รอบ 2 (หลังแก้)</t>
  </si>
  <si>
    <t>เปลี่ยน % = (รอบนี้ − รอบก่อน) ÷ รอบก่อน · ฟอนต์เขียว = ดีขึ้น · แดง = แย่ลง · ข้อมูลรวมขึ้นกับจำนวนคำขอ — ดูแถว 'ข้อมูลต่อคำขอ' ประกอบ</t>
  </si>
  <si>
    <t>ตัวชี้วัด</t>
  </si>
  <si>
    <t>รอบ 1 (ก่อนแก้)</t>
  </si>
  <si>
    <t>รอบ 2 (หลังแก้)</t>
  </si>
  <si>
    <t>เปลี่ยน %</t>
  </si>
  <si>
    <t>p95 ทุกคำขอ (ms)</t>
  </si>
  <si>
    <t>p95 เส้นพนักงาน (ms)</t>
  </si>
  <si>
    <t>ข้อมูลที่ส่งกลับรวม (MB)</t>
  </si>
  <si>
    <t>ข้อมูลต่อคำขอ (KB)</t>
  </si>
  <si>
    <t>p95 รายเส้น API (ms)</t>
  </si>
  <si>
    <t>รูปแบบ · เส้น API</t>
  </si>
  <si>
    <t>ทำอะไร</t>
  </si>
  <si>
    <t>load · public:house-designs</t>
  </si>
  <si>
    <t>รายการแบบบ้าน</t>
  </si>
  <si>
    <t>load · public:house-designs-featured</t>
  </si>
  <si>
    <t>แบบบ้านแนะนำ (หน้าแรก)</t>
  </si>
  <si>
    <t>load · public:portfolio</t>
  </si>
  <si>
    <t>รายการผลงาน</t>
  </si>
  <si>
    <t>load · public:settings</t>
  </si>
  <si>
    <t>ค่าตั้งเว็บ (ชื่อบริษัท รูปหน้าเว็บ)</t>
  </si>
  <si>
    <t>load · staff:customers</t>
  </si>
  <si>
    <t>แฟ้มลูกค้า</t>
  </si>
  <si>
    <t>load · staff:dashboard-pipeline</t>
  </si>
  <si>
    <t>แดชบอร์ด — ท่อขาย</t>
  </si>
  <si>
    <t>load · staff:dashboard-summary</t>
  </si>
  <si>
    <t>แดชบอร์ด — สรุป</t>
  </si>
  <si>
    <t>load · staff:leads</t>
  </si>
  <si>
    <t>คำขอลูกค้า</t>
  </si>
  <si>
    <t>load · staff:materials</t>
  </si>
  <si>
    <t>คลังวัสดุ (121 รายการ)</t>
  </si>
  <si>
    <t>load · staff:me</t>
  </si>
  <si>
    <t>ข้อมูลผู้ใช้ที่ล็อกอิน</t>
  </si>
  <si>
    <t>load · staff:notifications</t>
  </si>
  <si>
    <t>การแจ้งเตือน</t>
  </si>
  <si>
    <t>load · staff:project-boq</t>
  </si>
  <si>
    <t>BOQ ของโครงการ (178 รายการ)</t>
  </si>
  <si>
    <t>load · staff:project-detail</t>
  </si>
  <si>
    <t>รายละเอียดโครงการ</t>
  </si>
  <si>
    <t>load · staff:project-quotes</t>
  </si>
  <si>
    <t>ใบเสนอราคาของโครงการ</t>
  </si>
  <si>
    <t>load · staff:projects-list</t>
  </si>
  <si>
    <t>รายการโครงการ</t>
  </si>
  <si>
    <t>stress · public:house-designs</t>
  </si>
  <si>
    <t>stress · public:house-designs-featured</t>
  </si>
  <si>
    <t>stress · public:portfolio</t>
  </si>
  <si>
    <t>stress · public:settings</t>
  </si>
  <si>
    <t>stress · staff:customers</t>
  </si>
  <si>
    <t>stress · staff:dashboard-pipeline</t>
  </si>
  <si>
    <t>stress · staff:dashboard-summary</t>
  </si>
  <si>
    <t>stress · staff:leads</t>
  </si>
  <si>
    <t>stress · staff:materials</t>
  </si>
  <si>
    <t>stress · staff:me</t>
  </si>
  <si>
    <t>stress · staff:notifications</t>
  </si>
  <si>
    <t>stress · staff:project-boq</t>
  </si>
  <si>
    <t>stress · staff:project-detail</t>
  </si>
  <si>
    <t>stress · staff:project-quotes</t>
  </si>
  <si>
    <t>stress · staff:projects-list</t>
  </si>
  <si>
    <t>PDF ใบแรกหลังเปิด API ใหม่ — อุ่น Chromium ตอนเปิด (PDF_WARMUP) ปิด vs เปิด</t>
  </si>
  <si>
    <t>อุ่น Chromium</t>
  </si>
  <si>
    <t>ครั้งที่เปิด API</t>
  </si>
  <si>
    <t>PDF ใบที่</t>
  </si>
  <si>
    <t>วินาที</t>
  </si>
  <si>
    <t>ปิด</t>
  </si>
  <si>
    <t>เปิด</t>
  </si>
  <si>
    <t>ใบแรก เฉลี่ย — ปิด</t>
  </si>
  <si>
    <t>ใบแรก เฉลี่ย — เปิด</t>
  </si>
  <si>
    <t>ครั้งที่ 1 = เปิดเครื่องครั้งแรก (ไฟล์ของ Chromium ยังไม่อยู่ในแคชของระบบ) ใกล้เคียงตอน deploy คอนเทนเนอร์ใหม่บน VPS · ครั้งที่ 2–4 แคชอุ่นแล้ว</t>
  </si>
  <si>
    <t>วิธีทดสอบและเกณฑ์ตัดสิน</t>
  </si>
  <si>
    <t>Performance test ระบบ SystemBOQ บนเครื่องพัฒนา (ไม่ได้ทดสอบเว็บจริงที่ deploy)</t>
  </si>
  <si>
    <t>สภาพแวดล้อม</t>
  </si>
  <si>
    <t>หัวข้อ</t>
  </si>
  <si>
    <t>รายละเอียด</t>
  </si>
  <si>
    <t>วันที่ทดสอบ</t>
  </si>
  <si>
    <t>23 ตุลาคม 2569 — รอบ 1: 16:30–16:47 น. (ก่อนแก้) · รอบ 2: 17:05–17:31 น. (หลังแก้)</t>
  </si>
  <si>
    <t>โค้ดที่ทดสอบ</t>
  </si>
  <si>
    <t>รอบ 1: commit 1be46db · รอบ 2: 1be46db + แก้ขั้น 2 (gzip ด้วย compression + อุ่น Chromium ตอนเปิดเซิร์ฟเวอร์) ยังไม่ commit</t>
  </si>
  <si>
    <t>สิ่งที่ต่างระหว่างรอบ</t>
  </si>
  <si>
    <t>โค้ดฝั่ง API 2 จุดเท่านั้น · สคริปต์ k6 ส่ง Accept-Encoding: gzip, deflate, br แบบเบราว์เซอร์ (รอบ 1 เซิร์ฟเวอร์ไม่บีบอัด หัวนี้จึงไม่มีผล) · รูปแบบโหลด ข้อมูล เครื่อง เหมือนเดิมทุกอย่าง</t>
  </si>
  <si>
    <t>เครื่องที่ทดสอบ</t>
  </si>
  <si>
    <t>เครื่องพัฒนา Windows 11 · Intel Core i5-14500HX (14 คอร์ / 20 เธรด) · RAM 15.7 GB</t>
  </si>
  <si>
    <t>API</t>
  </si>
  <si>
    <t>Node.js 22.19 โหมดพัฒนา (tsx watch) · 1 โปรเซส · ไม่ส่งอีเมลจริง (MAIL_TRANSPORT=silent)</t>
  </si>
  <si>
    <t>ฐานข้อมูล</t>
  </si>
  <si>
    <t>PostgreSQL 17.10 ในคอนเทนเนอร์ Docker · ข้อมูล dev: โครงการ 10 · วัสดุ 121 · หมวดงาน 163</t>
  </si>
  <si>
    <t>โครงการที่ใช้ทดสอบ</t>
  </si>
  <si>
    <t>บ้านพักอาศัย 2 ชั้น — BOQ 178 รายการ + ใบเสนอราคา 1 ใบ (ใช้สร้าง PDF)</t>
  </si>
  <si>
    <t>เครื่องมือ</t>
  </si>
  <si>
    <t>k6 v2.3.0 (grafana/k6 ในคอนเทนเนอร์ Docker) ยิงไปที่ API ผ่าน host.docker.internal:4000</t>
  </si>
  <si>
    <t>บัญชีที่ใช้</t>
  </si>
  <si>
    <t>บัญชีพนักงานชั่วคราว (ADMIN) สร้างก่อนทดสอบและลบหลังทดสอบ · ล็อกอินครั้งเดียวแล้วทุกคนใช้ session เดียวกัน</t>
  </si>
  <si>
    <t>เกณฑ์ตัดสิน (แก้ตัวเลขได้ — แผ่นงานอื่นอ้างช่องเหล่านี้)</t>
  </si>
  <si>
    <t>เกณฑ์</t>
  </si>
  <si>
    <t>ค่า</t>
  </si>
  <si>
    <t>เวลาตอบ p95 ของเส้นอ่านข้อมูล ไม่เกิน (ms)</t>
  </si>
  <si>
    <t>เวลาตอบ p95 ของการสร้าง PDF ไม่เกิน (ms)</t>
  </si>
  <si>
    <t>อัตรา error ไม่เกิน</t>
  </si>
  <si>
    <t>ที่มาของเกณฑ์: ผู้ทดสอบกำหนดเอง (ระบบภายในบริษัท ผู้ใช้ไม่เกินหลักสิบคน) — p95 = 95% ของคำขอเร็วกว่าค่านี้</t>
  </si>
  <si>
    <t>รูปแบบการทดสอบ</t>
  </si>
  <si>
    <t>รูปแบบโหลด</t>
  </si>
  <si>
    <t>พนักงาน 1 + ผู้เข้าชม 1 คน 30 วินาที</t>
  </si>
  <si>
    <t>ไต่ขึ้น 1 นาที → พนักงาน 20 + ผู้เข้าชม 20 คน (รวม 40) ค้าง 3 นาที → ลง 30 วินาที</t>
  </si>
  <si>
    <t>ไต่เป็นขั้นนาทีละขั้น: กลุ่มละ 25 → 50 → 100 → 150 คน (รวมสูงสุด 300) → ลง 30 วินาที</t>
  </si>
  <si>
    <t>กลุ่มละ 5 คน 30 วินาที → พุ่งเป็นกลุ่มละ 150 (รวม 300) ใน 10 วินาที ค้าง 40 วินาที → ลดกลับ 5 คน</t>
  </si>
  <si>
    <t>สร้าง PDF ใบเสนอราคาพร้อมกัน 1 → 3 → 5 คน ระดับละ 1 นาที</t>
  </si>
  <si>
    <t>สิ่งที่ผู้ใช้จำลองทำ</t>
  </si>
  <si>
    <t>กลุ่ม</t>
  </si>
  <si>
    <t>ลำดับการใช้งาน</t>
  </si>
  <si>
    <t>ผู้เข้าชมเว็บลูกค้า</t>
  </si>
  <si>
    <t>ค่าตั้งเว็บ → แบบบ้านแนะนำ → รายการแบบบ้าน → รายการผลงาน → พักอ่าน 1–3 วินาที (ไม่ต้องล็อกอิน)</t>
  </si>
  <si>
    <t>พนักงาน</t>
  </si>
  <si>
    <t>ข้อมูลผู้ใช้ → แดชบอร์ด (สรุป + ท่อขาย) → แจ้งเตือน → พัก 1 วิ → รายการโครงการ → รายละเอียดโครงการ → BOQ → ใบเสนอราคา → พัก 1 วิ → คลังวัสดุ → แฟ้มลูกค้า → คำขอลูกค้า → พัก 1–3 วิ</t>
  </si>
  <si>
    <t>สร้าง PDF</t>
  </si>
  <si>
    <t>ขอ PDF ใบเสนอราคา (Chromium วาดเอกสาร) → พัก 1 วินาที</t>
  </si>
  <si>
    <t>ข้อจำกัด</t>
  </si>
  <si>
    <t>• ทดสอบบนเครื่องพัฒนา ไม่ใช่ VPS จริง (VPS = 2 vCPU / RAM 8 GB) — ใช้เทียบก่อน/หลังแก้ได้ แต่ตัวเลขไม่เท่าระบบจริง</t>
  </si>
  <si>
    <t>• API รันโหมดพัฒนา (tsx) ช้ากว่าไฟล์ที่ build แล้วบนระบบจริงเล็กน้อย</t>
  </si>
  <si>
    <t>• k6 กับระบบรันเครื่องเดียวกัน ไม่มีเวลาเดินทางของเน็ต และ k6 แย่ง CPU บางส่วน</t>
  </si>
  <si>
    <t>• k6 อยู่ในคอนเทนเนอร์ Docker ยิงเข้าเครื่องผ่านเครือข่ายของ Docker Desktop ซึ่งส่งข้อมูลก้อนใหญ่ได้ช้า — ผลของ gzip ในเครื่องจึงอาจมากกว่าบนอินเทอร์เน็ตจริง (บนเน็ตจริงยังได้ประโยชน์ โดยเฉพาะมือถือ แต่ตัวเลขไม่เท่า)</t>
  </si>
  <si>
    <t>• ทดสอบเฉพาะการอ่านข้อมูล + สร้าง PDF — ไม่ได้ทดสอบการบันทึก/แก้ไข และไม่ยิงเส้นที่ส่งอีเมลหรือมีเพดานจำกัด (สมัคร ลืมรหัส ส่งคำขอติดต่อ)</t>
  </si>
  <si>
    <t>• ไม่ได้วัดเวลาโหลดหน้าเว็บ (HTML/JS/รูป) เพราะเครื่องพัฒนาใช้ Vite dev server ไม่ใช่ไฟล์ build จริง</t>
  </si>
  <si>
    <t>• Load test ยาว 4.5 นาที — สั้นเกินกว่าจะสรุปเรื่องหน่วยความจำรั่วระยะยาว</t>
  </si>
  <si>
    <t>ผลรายเส้น API</t>
  </si>
  <si>
    <t>เวลาตอบเป็นมิลลิวินาที (ms) คิดจากทุกคำขอ · ผ่าน = p95 ไม่เกินเกณฑ์ และ error ไม่เกินเกณฑ์ (สูตรอ้างแผ่นงาน 'วิธีทดสอบและเกณฑ์')</t>
  </si>
  <si>
    <t>เส้น API</t>
  </si>
  <si>
    <t>เฉลี่ย</t>
  </si>
  <si>
    <t>p50</t>
  </si>
  <si>
    <t>p90</t>
  </si>
  <si>
    <t>p95</t>
  </si>
  <si>
    <t>p99</t>
  </si>
  <si>
    <t>สูงสุด</t>
  </si>
  <si>
    <t>smoke</t>
  </si>
  <si>
    <t>public:house-designs</t>
  </si>
  <si>
    <t>public:house-designs-featured</t>
  </si>
  <si>
    <t>public:portfolio</t>
  </si>
  <si>
    <t>public:settings</t>
  </si>
  <si>
    <t>staff:customers</t>
  </si>
  <si>
    <t>staff:dashboard-pipeline</t>
  </si>
  <si>
    <t>staff:dashboard-summary</t>
  </si>
  <si>
    <t>staff:leads</t>
  </si>
  <si>
    <t>staff:materials</t>
  </si>
  <si>
    <t>staff:me</t>
  </si>
  <si>
    <t>staff:notifications</t>
  </si>
  <si>
    <t>staff:project-boq</t>
  </si>
  <si>
    <t>staff:project-detail</t>
  </si>
  <si>
    <t>staff:project-quotes</t>
  </si>
  <si>
    <t>staff:projects-list</t>
  </si>
  <si>
    <t>load</t>
  </si>
  <si>
    <t>stress</t>
  </si>
  <si>
    <t>spike</t>
  </si>
  <si>
    <t>pdf</t>
  </si>
  <si>
    <t>pdf:quote</t>
  </si>
  <si>
    <t>สร้าง PDF ใบเสนอราคา</t>
  </si>
  <si>
    <t>ผลตามช่วงเวลา</t>
  </si>
  <si>
    <t>แต่ละแถว = 15 วินาที · ผู้ใช้พร้อมกัน = รวมทุกกลุ่ม · ใช้ดูว่าเวลาตอบเปลี่ยนไปอย่างไรเมื่อผู้ใช้เพิ่มขึ้น</t>
  </si>
  <si>
    <t>วินาทีที่</t>
  </si>
  <si>
    <t>ผู้ใช้พร้อมกัน</t>
  </si>
  <si>
    <t>คำขอ</t>
  </si>
  <si>
    <t>p95 (ms)</t>
  </si>
  <si>
    <t>error</t>
  </si>
  <si>
    <t>ทรัพยากรเครื่องระหว่างทดสอบ</t>
  </si>
  <si>
    <t>เก็บทุก 5 วินาที · CPU ของ API คิดเป็น % ของทั้งเครื่อง (ทุกคอร์รวม = 100%) · ฐานข้อมูล = คอนเทนเนอร์ postgres (100% = 1 คอร์)</t>
  </si>
  <si>
    <t>API CPU %</t>
  </si>
  <si>
    <t>API RAM (MB)</t>
  </si>
  <si>
    <t>DB CPU %</t>
  </si>
  <si>
    <t>DB RAM (MB)</t>
  </si>
  <si>
    <t>ข้อสังเกตและข้อเสนอแนะ</t>
  </si>
  <si>
    <t>อ่านจากผลในแผ่นงานอื่น · ความรุนแรง: สูง = ควรแก้ก่อนผู้ใช้เพิ่ม · กลาง = ควรแก้ · ต่ำ = ทราบไว้</t>
  </si>
  <si>
    <t>#</t>
  </si>
  <si>
    <t>สิ่งที่พบ (ตัวเลขจากผลทดสอบ)</t>
  </si>
  <si>
    <t>สาเหตุที่น่าจะเป็น</t>
  </si>
  <si>
    <t>ข้อเสนอแนะ</t>
  </si>
  <si>
    <t>ความรุนแรง</t>
  </si>
  <si>
    <t>gzip (แก้แล้ว)</t>
  </si>
  <si>
    <t>Load p95 53→15 ms · Stress p95 907→21 ms · Spike p95 1,521→35 ms · BOQ ของโครงการช่วง stress 1,864→38 ms · ข้อมูลที่ส่งกลับ (load) 236.7→61.9 MB ทั้งที่คำขอมากขึ้น</t>
  </si>
  <si>
    <t>คำตอบ JSON ก้อนใหญ่ (50–70 KB) ไม่ถูกบีบอัด · หลังบีบเหลือ 8–9 KB</t>
  </si>
  <si>
    <t>deploy ขึ้นระบบจริง (ขั้น 4) — เว็บจริงจะส่งข้อมูลน้อยลงราว 4 เท่า โดยเฉพาะผู้ใช้มือถือ</t>
  </si>
  <si>
    <t>ต่ำ</t>
  </si>
  <si>
    <t>แก้ข้อสรุปเรื่องคอขวดของรอบ 1</t>
  </si>
  <si>
    <t>รอบ 1 สรุปว่าคอขวดคือ Node 1 โปรเซส · รอบ 2 CPU ของ API สูงสุด 12.5% (รอบ 1 = 13.0%) แต่รับคำขอได้ 297/วินาที (รอบ 1 = 177) และช่วงพีค ~645/วินาที</t>
  </si>
  <si>
    <t>ถ้าคอขวดคือ CPU รอบ 2 ต้องติดที่ CPU เท่าเดิม — ตัวเลขชี้ว่ารอบ 1 ติดที่การส่งข้อมูลก้อนใหญ่ (ส่วนหนึ่งเป็นเครือข่ายของ Docker Desktop ระหว่าง k6 กับเครื่อง)</t>
  </si>
  <si>
    <t>ยังไม่ต้องรัน API หลายตัว — ที่ 300 คนยังเหลือ CPU มาก · ถ้าต้องหาเพดานจริง ให้ดันเกิน 300 คน หรือยิงจากเครื่องอื่นแทน Docker ในเครื่องเดียวกัน</t>
  </si>
  <si>
    <t>อุ่น Chromium (แก้แล้ว)</t>
  </si>
  <si>
    <t>PDF ใบแรกหลังเปิด API: ปิดอุ่น 8.55 วิ (เปิดเครื่องครั้งแรก) / 2.35 วิ (แคชอุ่น) · เปิดอุ่น 1.84 / 1.86 วิ · อุ่นใช้เวลา 0.6 วิ เบื้องหลัง</t>
  </si>
  <si>
    <t>การเปิด Chromium + โหลดไฟล์ครั้งแรกจากดิสก์</t>
  </si>
  <si>
    <t>deploy (ขั้น 4) — บน VPS เปิดคอนเทนเนอร์ใหม่ทุกครั้งที่ deploy = ตรงกับกรณีเปิดเครื่องครั้งแรกที่ได้ผลมากสุด</t>
  </si>
  <si>
    <t>สร้าง PDF ใบละ ~2 วินาที</t>
  </si>
  <si>
    <t>รอบ 2 p95 1,899 ms (รอบ 1 = 2,155) · 255 ใบ error 0% · 1–5 คนพร้อมกันเวลาใกล้เคียงกัน</t>
  </si>
  <si>
    <t>เวลาส่วนใหญ่อยู่ที่ Chromium วาดเอกสารหลายหน้า (ไม่ได้แก้ในรอบนี้)</t>
  </si>
  <si>
    <t>ยอมรับได้สำหรับเอกสารที่กดออกเป็นครั้งคราว · ถ้าต้องเร็วขึ้น: เก็บ PDF ที่ออกแล้วไว้ใช้ซ้ำเมื่อเนื้อหาไม่เปลี่ยน</t>
  </si>
  <si>
    <t>รอบ 2 ฐานข้อมูลใช้ CPU สูงสุด 41–44% ของคอร์เดียว (รอบ 1 ≤ 24%) เพราะรับคำขอได้มากขึ้น · RAM ≤ 175 MB</t>
  </si>
  <si>
    <t>คำขอต่อวินาทีเพิ่ม</t>
  </si>
  <si>
    <t>ยังเหลือมาก · ถ้าผู้ใช้เพิ่มเป็นหลายร้อยคนพร้อมกันค่อยดูดัชนีของเส้นที่ช้าสุด</t>
  </si>
  <si>
    <t>หน่วยความจำ</t>
  </si>
  <si>
    <t>API 242–374 MB · ฐานข้อมูล ≤ 175 MB ทั้งสองรอบ ไม่เพิ่มขึ้นต่อเนื่อง</t>
  </si>
  <si>
    <t>-</t>
  </si>
  <si>
    <t>ใช้ได้กับ VPS 8 GB · ทดสอบยาวหลายชั่วโมง (soak) ถ้าต้องการยืนยันเรื่องหน่วยความจำรั่ว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</si>
</sst>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\+0.0%;\-0.0%;0.0%"/>
  </numFmts>
  <fonts count="10" x14ac:knownFonts="1">
    <font>
      <sz val="11"/>
      <color theme="1"/>
      <name val="Calibri"/>
      <family val="2"/>
      <scheme val="minor"/>
    </font>
    <font>
      <b/>
      <sz val="14"/>
      <color rgb="FF000099"/>
      <name val="Tahoma"/>
    </font>
    <font>
      <i/>
      <sz val="10"/>
      <color rgb="FF6B7280"/>
      <name val="Tahoma"/>
    </font>
    <font>
      <b/>
      <sz val="11"/>
      <color rgb="FF000099"/>
      <name val="Tahoma"/>
    </font>
    <font>
      <b/>
      <sz val="10"/>
      <color rgb="FFFFFFFF"/>
      <name val="Tahoma"/>
    </font>
    <font>
      <b/>
      <sz val="10"/>
      <color rgb="FF1F2937"/>
      <name val="Tahoma"/>
    </font>
    <font>
      <sz val="10"/>
      <color rgb="FF1F2937"/>
      <name val="Tahoma"/>
    </font>
    <font>
      <sz val="10"/>
      <color rgb="FF0000FF"/>
      <name val="Tahoma"/>
    </font>
    <font>
      <i/>
      <sz val="9"/>
      <color rgb="FF6B7280"/>
      <name val="Tahoma"/>
    </font>
    <font>
      <b/>
      <sz val="9"/>
      <color rgb="FF1F2937"/>
      <name val="Tahoma"/>
    </font>
  </fonts>
  <fills count="4">
    <fill>
      <patternFill patternType="none"/>
    </fill>
    <fill>
      <patternFill patternType="gray125"/>
    </fill>
    <fill>
      <patternFill patternType="solid">
        <fgColor rgb="FF000099"/>
        <bgColor rgb="FF000099"/>
      </patternFill>
    </fill>
    <fill>
      <patternFill patternType="solid">
        <fgColor rgb="FFFEF9C3"/>
        <bgColor rgb="FFFEF9C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0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0" fontId="3" fillId="0" borderId="0" xfId="0" applyFont="1"/>
    <xf numFmtId="0" fontId="9" fillId="0" borderId="0" xfId="0" applyFont="1"/>
    <xf numFmtId="167" fontId="6" fillId="0" borderId="1" xfId="0" applyNumberFormat="1" applyFont="1" applyBorder="1" applyAlignment="1">
      <alignment horizontal="right" vertical="center" wrapText="1"/>
    </xf>
    <xf numFmtId="3" fontId="0" fillId="0" borderId="0" xfId="0" applyNumberFormat="1"/>
    <xf numFmtId="1" fontId="6" fillId="0" borderId="1" xfId="0" applyNumberFormat="1" applyFont="1" applyBorder="1" applyAlignment="1">
      <alignment horizontal="right" vertical="center" wrapText="1"/>
    </xf>
    <xf numFmtId="2" fontId="6" fillId="0" borderId="1" xfId="0" applyNumberFormat="1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3" fontId="7" fillId="3" borderId="1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9">
    <dxf>
      <font>
        <b/>
        <color rgb="FF075985"/>
        <name val="Tahoma"/>
      </font>
      <fill>
        <patternFill patternType="solid">
          <fgColor rgb="FFE0F2FE"/>
          <bgColor rgb="FFE0F2FE"/>
        </patternFill>
      </fill>
    </dxf>
    <dxf>
      <font>
        <b/>
        <color rgb="FF92400E"/>
        <name val="Tahoma"/>
      </font>
      <fill>
        <patternFill patternType="solid">
          <fgColor rgb="FFFEF3C7"/>
          <bgColor rgb="FFFEF3C7"/>
        </patternFill>
      </fill>
    </dxf>
    <dxf>
      <font>
        <b/>
        <color rgb="FFB91C1C"/>
        <name val="Tahoma"/>
      </font>
      <fill>
        <patternFill patternType="solid">
          <fgColor rgb="FFFEE2E2"/>
          <bgColor rgb="FFFEE2E2"/>
        </patternFill>
      </fill>
    </dxf>
    <dxf>
      <font>
        <b/>
        <color rgb="FFB91C1C"/>
        <name val="Tahoma"/>
      </font>
      <fill>
        <patternFill patternType="solid">
          <fgColor rgb="FFFEE2E2"/>
          <bgColor rgb="FFFEE2E2"/>
        </patternFill>
      </fill>
    </dxf>
    <dxf>
      <font>
        <b/>
        <color rgb="FF166534"/>
        <name val="Tahoma"/>
      </font>
      <fill>
        <patternFill patternType="solid">
          <fgColor rgb="FFDCFCE7"/>
          <bgColor rgb="FFDCFCE7"/>
        </patternFill>
      </fill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</dxf>
    <dxf>
      <font>
        <b/>
        <color rgb="FF166534"/>
        <name val="Tahoma"/>
      </font>
    </dxf>
    <dxf>
      <font>
        <b/>
        <color rgb="FFB91C1C"/>
        <name val="Tahoma"/>
      </font>
      <fill>
        <patternFill patternType="solid">
          <fgColor rgb="FFFEE2E2"/>
          <bgColor rgb="FFFEE2E2"/>
        </patternFill>
      </fill>
    </dxf>
    <dxf>
      <font>
        <b/>
        <color rgb="FF166534"/>
        <name val="Tahoma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p95 </a:t>
            </a:r>
            <a:r>
              <a:rPr lang="th-TH"/>
              <a:t>ของทุกคำขอ (</a:t>
            </a:r>
            <a:r>
              <a:rPr lang="en-US"/>
              <a:t>ms) </a:t>
            </a:r>
            <a:r>
              <a:rPr lang="th-TH"/>
              <a:t>แยกตามรูปแบบ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สรุปผล!$A$5:$A$9</c:f>
              <c:strCache>
                <c:ptCount val="5"/>
                <c:pt idx="0">
                  <c:v>Smoke test — ตรวจว่าทุกเส้นทำงาน</c:v>
                </c:pt>
                <c:pt idx="1">
                  <c:v>Load test — ใช้งานปกติต่อเนื่อง</c:v>
                </c:pt>
                <c:pt idx="2">
                  <c:v>Stress test — เพิ่มผู้ใช้จนเห็นขีดจำกัด</c:v>
                </c:pt>
                <c:pt idx="3">
                  <c:v>Spike test — ผู้ใช้พุ่งขึ้นกะทันหัน</c:v>
                </c:pt>
                <c:pt idx="4">
                  <c:v>PDF test — สร้าง PDF ใบเสนอราคาพร้อมกัน</c:v>
                </c:pt>
              </c:strCache>
            </c:strRef>
          </c:cat>
          <c:val>
            <c:numRef>
              <c:f>สรุปผล!$H$5:$H$9</c:f>
              <c:numCache>
                <c:formatCode>#,##0.0</c:formatCode>
                <c:ptCount val="5"/>
                <c:pt idx="0">
                  <c:v>21.04779335000001</c:v>
                </c:pt>
                <c:pt idx="1">
                  <c:v>14.887148</c:v>
                </c:pt>
                <c:pt idx="2">
                  <c:v>20.808969699999999</c:v>
                </c:pt>
                <c:pt idx="3">
                  <c:v>35.174190099999997</c:v>
                </c:pt>
                <c:pt idx="4">
                  <c:v>1899.4901523000001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4-4118-A6BA-E4CB4648664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p95 ทุกคำขอ (ms) — รอบก่อน vs รอบนี้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เทียบรอบ!$I$4</c:f>
              <c:strCache>
                <c:ptCount val="1"/>
                <c:pt idx="0">
                  <c:v>รอบ 1 (ก่อนแก้)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เทียบรอบ!$H$5:$H$9</c:f>
              <c:strCache>
                <c:ptCount val="5"/>
                <c:pt idx="0">
                  <c:v>Smoke</c:v>
                </c:pt>
                <c:pt idx="1">
                  <c:v>Load</c:v>
                </c:pt>
                <c:pt idx="2">
                  <c:v>Stress</c:v>
                </c:pt>
                <c:pt idx="3">
                  <c:v>Spike</c:v>
                </c:pt>
                <c:pt idx="4">
                  <c:v>PDF</c:v>
                </c:pt>
              </c:strCache>
            </c:strRef>
          </c:cat>
          <c:val>
            <c:numRef>
              <c:f>เทียบรอบ!$I$5:$I$9</c:f>
              <c:numCache>
                <c:formatCode>#,##0</c:formatCode>
                <c:ptCount val="5"/>
                <c:pt idx="0">
                  <c:v>58.215458000000012</c:v>
                </c:pt>
                <c:pt idx="1">
                  <c:v>52.908717800000012</c:v>
                </c:pt>
                <c:pt idx="2">
                  <c:v>906.77194600000007</c:v>
                </c:pt>
                <c:pt idx="3">
                  <c:v>1521.334773000001</c:v>
                </c:pt>
                <c:pt idx="4">
                  <c:v>2155.2895262500001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F-4846-85E1-DD933F9F209F}"/>
            </c:ext>
          </c:extLst>
        </c:ser>
        <c:ser>
          <c:idx val="1"/>
          <c:order val="1"/>
          <c:tx>
            <c:strRef>
              <c:f>เทียบรอบ!$J$4</c:f>
              <c:strCache>
                <c:ptCount val="1"/>
                <c:pt idx="0">
                  <c:v>รอบ 2 (หลังแก้)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เทียบรอบ!$H$5:$H$9</c:f>
              <c:strCache>
                <c:ptCount val="5"/>
                <c:pt idx="0">
                  <c:v>Smoke</c:v>
                </c:pt>
                <c:pt idx="1">
                  <c:v>Load</c:v>
                </c:pt>
                <c:pt idx="2">
                  <c:v>Stress</c:v>
                </c:pt>
                <c:pt idx="3">
                  <c:v>Spike</c:v>
                </c:pt>
                <c:pt idx="4">
                  <c:v>PDF</c:v>
                </c:pt>
              </c:strCache>
            </c:strRef>
          </c:cat>
          <c:val>
            <c:numRef>
              <c:f>เทียบรอบ!$J$5:$J$9</c:f>
              <c:numCache>
                <c:formatCode>#,##0</c:formatCode>
                <c:ptCount val="5"/>
                <c:pt idx="0">
                  <c:v>21.04779335000001</c:v>
                </c:pt>
                <c:pt idx="1">
                  <c:v>14.887148</c:v>
                </c:pt>
                <c:pt idx="2">
                  <c:v>20.808969699999999</c:v>
                </c:pt>
                <c:pt idx="3">
                  <c:v>35.174190099999997</c:v>
                </c:pt>
                <c:pt idx="4">
                  <c:v>1899.4901523000001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F-4846-85E1-DD933F9F2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stress: p95 (ms) เทียบผู้ใช้พร้อมกัน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ผลตามช่วงเวลา!$B$24:$B$41</c:f>
              <c:numCache>
                <c:formatCode>#,##0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cat>
          <c:val>
            <c:numRef>
              <c:f>ผลตามช่วงเวลา!$F$24:$F$41</c:f>
              <c:numCache>
                <c:formatCode>#,##0.0</c:formatCode>
                <c:ptCount val="18"/>
                <c:pt idx="0">
                  <c:v>14.9455306</c:v>
                </c:pt>
                <c:pt idx="1">
                  <c:v>15.068382</c:v>
                </c:pt>
                <c:pt idx="2">
                  <c:v>14.37036085000001</c:v>
                </c:pt>
                <c:pt idx="3">
                  <c:v>15.0879017</c:v>
                </c:pt>
                <c:pt idx="4">
                  <c:v>14.84499345</c:v>
                </c:pt>
                <c:pt idx="5">
                  <c:v>14.240766000000001</c:v>
                </c:pt>
                <c:pt idx="6">
                  <c:v>14.781071600000001</c:v>
                </c:pt>
                <c:pt idx="7">
                  <c:v>14.595075599999999</c:v>
                </c:pt>
                <c:pt idx="8">
                  <c:v>14.232244400000001</c:v>
                </c:pt>
                <c:pt idx="9">
                  <c:v>15.7620846</c:v>
                </c:pt>
                <c:pt idx="10">
                  <c:v>15.72674765</c:v>
                </c:pt>
                <c:pt idx="11">
                  <c:v>17.330390550000018</c:v>
                </c:pt>
                <c:pt idx="12">
                  <c:v>17.838431849999999</c:v>
                </c:pt>
                <c:pt idx="13">
                  <c:v>20.006745200000001</c:v>
                </c:pt>
                <c:pt idx="14">
                  <c:v>32.3690335</c:v>
                </c:pt>
                <c:pt idx="15">
                  <c:v>29.108220550000009</c:v>
                </c:pt>
                <c:pt idx="16">
                  <c:v>24.011318800000009</c:v>
                </c:pt>
                <c:pt idx="17">
                  <c:v>15.177917150000001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E-42C5-9EEC-2F8F979FF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ผู้ใช้พร้อมกัน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ผลตามช่วงเวลา!$C$24:$C$41</c:f>
              <c:numCache>
                <c:formatCode>#,##0</c:formatCode>
                <c:ptCount val="18"/>
                <c:pt idx="0">
                  <c:v>14</c:v>
                </c:pt>
                <c:pt idx="1">
                  <c:v>26</c:v>
                </c:pt>
                <c:pt idx="2">
                  <c:v>38</c:v>
                </c:pt>
                <c:pt idx="3">
                  <c:v>50</c:v>
                </c:pt>
                <c:pt idx="4">
                  <c:v>64</c:v>
                </c:pt>
                <c:pt idx="5">
                  <c:v>76</c:v>
                </c:pt>
                <c:pt idx="6">
                  <c:v>88</c:v>
                </c:pt>
                <c:pt idx="7">
                  <c:v>102</c:v>
                </c:pt>
                <c:pt idx="8">
                  <c:v>128</c:v>
                </c:pt>
                <c:pt idx="9">
                  <c:v>152</c:v>
                </c:pt>
                <c:pt idx="10">
                  <c:v>178</c:v>
                </c:pt>
                <c:pt idx="11">
                  <c:v>202</c:v>
                </c:pt>
                <c:pt idx="12">
                  <c:v>228</c:v>
                </c:pt>
                <c:pt idx="13">
                  <c:v>252</c:v>
                </c:pt>
                <c:pt idx="14">
                  <c:v>278</c:v>
                </c:pt>
                <c:pt idx="15">
                  <c:v>300</c:v>
                </c:pt>
                <c:pt idx="16">
                  <c:v>291</c:v>
                </c:pt>
                <c:pt idx="1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E-42C5-9EEC-2F8F979FF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p95 (ms)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ผู้ใช้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spike: p95 (ms) เทียบผู้ใช้พร้อมกัน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ผลตามช่วงเวลา!$B$43:$B$51</c:f>
              <c:numCache>
                <c:formatCode>#,##0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</c:numCache>
            </c:numRef>
          </c:cat>
          <c:val>
            <c:numRef>
              <c:f>ผลตามช่วงเวลา!$F$43:$F$51</c:f>
              <c:numCache>
                <c:formatCode>#,##0.0</c:formatCode>
                <c:ptCount val="9"/>
                <c:pt idx="0">
                  <c:v>16.779943200000002</c:v>
                </c:pt>
                <c:pt idx="1">
                  <c:v>15.8688959</c:v>
                </c:pt>
                <c:pt idx="2">
                  <c:v>34.147698000000013</c:v>
                </c:pt>
                <c:pt idx="3">
                  <c:v>35.783012449999987</c:v>
                </c:pt>
                <c:pt idx="4">
                  <c:v>38.835415900000001</c:v>
                </c:pt>
                <c:pt idx="5">
                  <c:v>31.870849800000009</c:v>
                </c:pt>
                <c:pt idx="6">
                  <c:v>14.269855099999999</c:v>
                </c:pt>
                <c:pt idx="7">
                  <c:v>16.926115150000012</c:v>
                </c:pt>
                <c:pt idx="8">
                  <c:v>15.5555302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9-4C7D-891D-EE0460223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ผู้ใช้พร้อมกัน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ผลตามช่วงเวลา!$C$43:$C$51</c:f>
              <c:numCache>
                <c:formatCode>#,##0</c:formatCode>
                <c:ptCount val="9"/>
                <c:pt idx="0">
                  <c:v>6</c:v>
                </c:pt>
                <c:pt idx="1">
                  <c:v>152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298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9-4C7D-891D-EE0460223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p95 (ms)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ผู้ใช้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load: p95 (ms) เทียบผู้ใช้พร้อมกัน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ผลตามช่วงเวลา!$B$5:$B$22</c:f>
              <c:numCache>
                <c:formatCode>#,##0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cat>
          <c:val>
            <c:numRef>
              <c:f>ผลตามช่วงเวลา!$F$5:$F$22</c:f>
              <c:numCache>
                <c:formatCode>#,##0.0</c:formatCode>
                <c:ptCount val="18"/>
                <c:pt idx="0">
                  <c:v>16.595402750000002</c:v>
                </c:pt>
                <c:pt idx="1">
                  <c:v>14.999670999999999</c:v>
                </c:pt>
                <c:pt idx="2">
                  <c:v>16.994596399999999</c:v>
                </c:pt>
                <c:pt idx="3">
                  <c:v>16.71094669999999</c:v>
                </c:pt>
                <c:pt idx="4">
                  <c:v>14.54878700000001</c:v>
                </c:pt>
                <c:pt idx="5">
                  <c:v>16.405281250000002</c:v>
                </c:pt>
                <c:pt idx="6">
                  <c:v>15.004863</c:v>
                </c:pt>
                <c:pt idx="7">
                  <c:v>14.1271415</c:v>
                </c:pt>
                <c:pt idx="8">
                  <c:v>15.373167549999989</c:v>
                </c:pt>
                <c:pt idx="9">
                  <c:v>14.070728849999981</c:v>
                </c:pt>
                <c:pt idx="10">
                  <c:v>13.788808700000001</c:v>
                </c:pt>
                <c:pt idx="11">
                  <c:v>13.7525038</c:v>
                </c:pt>
                <c:pt idx="12">
                  <c:v>14.179361500000001</c:v>
                </c:pt>
                <c:pt idx="13">
                  <c:v>14.025819</c:v>
                </c:pt>
                <c:pt idx="14">
                  <c:v>14.52798275</c:v>
                </c:pt>
                <c:pt idx="15">
                  <c:v>14.406549399999999</c:v>
                </c:pt>
                <c:pt idx="16">
                  <c:v>15.58182375</c:v>
                </c:pt>
                <c:pt idx="17">
                  <c:v>16.390331100000001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9-4956-AD61-AD24D17F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ผู้ใช้พร้อมกัน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ผลตามช่วงเวลา!$C$5:$C$22</c:f>
              <c:numCache>
                <c:formatCode>#,##0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9-4956-AD61-AD24D17F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p95 (ms)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ผู้ใช้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stress: CPU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API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ทรัพยากรเครื่อง!$B$56:$B$99</c:f>
              <c:numCache>
                <c:formatCode>#,##0</c:formatCode>
                <c:ptCount val="44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101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145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169</c:v>
                </c:pt>
                <c:pt idx="28">
                  <c:v>176</c:v>
                </c:pt>
                <c:pt idx="29">
                  <c:v>182</c:v>
                </c:pt>
                <c:pt idx="30">
                  <c:v>188</c:v>
                </c:pt>
                <c:pt idx="31">
                  <c:v>195</c:v>
                </c:pt>
                <c:pt idx="32">
                  <c:v>201</c:v>
                </c:pt>
                <c:pt idx="33">
                  <c:v>207</c:v>
                </c:pt>
                <c:pt idx="34">
                  <c:v>213</c:v>
                </c:pt>
                <c:pt idx="35">
                  <c:v>219</c:v>
                </c:pt>
                <c:pt idx="36">
                  <c:v>226</c:v>
                </c:pt>
                <c:pt idx="37">
                  <c:v>232</c:v>
                </c:pt>
                <c:pt idx="38">
                  <c:v>238</c:v>
                </c:pt>
                <c:pt idx="39">
                  <c:v>245</c:v>
                </c:pt>
                <c:pt idx="40">
                  <c:v>251</c:v>
                </c:pt>
                <c:pt idx="41">
                  <c:v>257</c:v>
                </c:pt>
                <c:pt idx="42">
                  <c:v>263</c:v>
                </c:pt>
                <c:pt idx="43">
                  <c:v>269</c:v>
                </c:pt>
              </c:numCache>
            </c:numRef>
          </c:cat>
          <c:val>
            <c:numRef>
              <c:f>ทรัพยากรเครื่อง!$C$56:$C$99</c:f>
              <c:numCache>
                <c:formatCode>0.0</c:formatCode>
                <c:ptCount val="44"/>
                <c:pt idx="0">
                  <c:v>0.3</c:v>
                </c:pt>
                <c:pt idx="1">
                  <c:v>0.4</c:v>
                </c:pt>
                <c:pt idx="2">
                  <c:v>0.6</c:v>
                </c:pt>
                <c:pt idx="3">
                  <c:v>0.7</c:v>
                </c:pt>
                <c:pt idx="4">
                  <c:v>1.4</c:v>
                </c:pt>
                <c:pt idx="5">
                  <c:v>1.4</c:v>
                </c:pt>
                <c:pt idx="6">
                  <c:v>1.7</c:v>
                </c:pt>
                <c:pt idx="7">
                  <c:v>1.7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2.5</c:v>
                </c:pt>
                <c:pt idx="12">
                  <c:v>3.5</c:v>
                </c:pt>
                <c:pt idx="13">
                  <c:v>3.2</c:v>
                </c:pt>
                <c:pt idx="14">
                  <c:v>3.3</c:v>
                </c:pt>
                <c:pt idx="15">
                  <c:v>3.2</c:v>
                </c:pt>
                <c:pt idx="16">
                  <c:v>3.9</c:v>
                </c:pt>
                <c:pt idx="17">
                  <c:v>3.4</c:v>
                </c:pt>
                <c:pt idx="18">
                  <c:v>4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5</c:v>
                </c:pt>
                <c:pt idx="22">
                  <c:v>5</c:v>
                </c:pt>
                <c:pt idx="23">
                  <c:v>5.3</c:v>
                </c:pt>
                <c:pt idx="24">
                  <c:v>6.4</c:v>
                </c:pt>
                <c:pt idx="25">
                  <c:v>6.5</c:v>
                </c:pt>
                <c:pt idx="26">
                  <c:v>7.1</c:v>
                </c:pt>
                <c:pt idx="27">
                  <c:v>7.5</c:v>
                </c:pt>
                <c:pt idx="28">
                  <c:v>7.6</c:v>
                </c:pt>
                <c:pt idx="29">
                  <c:v>7.9</c:v>
                </c:pt>
                <c:pt idx="30">
                  <c:v>8.1999999999999993</c:v>
                </c:pt>
                <c:pt idx="31">
                  <c:v>9</c:v>
                </c:pt>
                <c:pt idx="32">
                  <c:v>9.5</c:v>
                </c:pt>
                <c:pt idx="33">
                  <c:v>10.1</c:v>
                </c:pt>
                <c:pt idx="34">
                  <c:v>10.6</c:v>
                </c:pt>
                <c:pt idx="35">
                  <c:v>11.1</c:v>
                </c:pt>
                <c:pt idx="36">
                  <c:v>11.7</c:v>
                </c:pt>
                <c:pt idx="37">
                  <c:v>12.5</c:v>
                </c:pt>
                <c:pt idx="38">
                  <c:v>12.1</c:v>
                </c:pt>
                <c:pt idx="39">
                  <c:v>9.1999999999999993</c:v>
                </c:pt>
                <c:pt idx="40">
                  <c:v>6.2</c:v>
                </c:pt>
                <c:pt idx="41">
                  <c:v>4.3</c:v>
                </c:pt>
                <c:pt idx="42">
                  <c:v>1.9</c:v>
                </c:pt>
                <c:pt idx="4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4-49D2-830A-99CE8BA83CF9}"/>
            </c:ext>
          </c:extLst>
        </c:ser>
        <c:ser>
          <c:idx val="1"/>
          <c:order val="1"/>
          <c:tx>
            <c:v>ฐานข้อมูล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ทรัพยากรเครื่อง!$B$56:$B$99</c:f>
              <c:numCache>
                <c:formatCode>#,##0</c:formatCode>
                <c:ptCount val="44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101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145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169</c:v>
                </c:pt>
                <c:pt idx="28">
                  <c:v>176</c:v>
                </c:pt>
                <c:pt idx="29">
                  <c:v>182</c:v>
                </c:pt>
                <c:pt idx="30">
                  <c:v>188</c:v>
                </c:pt>
                <c:pt idx="31">
                  <c:v>195</c:v>
                </c:pt>
                <c:pt idx="32">
                  <c:v>201</c:v>
                </c:pt>
                <c:pt idx="33">
                  <c:v>207</c:v>
                </c:pt>
                <c:pt idx="34">
                  <c:v>213</c:v>
                </c:pt>
                <c:pt idx="35">
                  <c:v>219</c:v>
                </c:pt>
                <c:pt idx="36">
                  <c:v>226</c:v>
                </c:pt>
                <c:pt idx="37">
                  <c:v>232</c:v>
                </c:pt>
                <c:pt idx="38">
                  <c:v>238</c:v>
                </c:pt>
                <c:pt idx="39">
                  <c:v>245</c:v>
                </c:pt>
                <c:pt idx="40">
                  <c:v>251</c:v>
                </c:pt>
                <c:pt idx="41">
                  <c:v>257</c:v>
                </c:pt>
                <c:pt idx="42">
                  <c:v>263</c:v>
                </c:pt>
                <c:pt idx="43">
                  <c:v>269</c:v>
                </c:pt>
              </c:numCache>
            </c:numRef>
          </c:cat>
          <c:val>
            <c:numRef>
              <c:f>ทรัพยากรเครื่อง!$E$56:$E$99</c:f>
              <c:numCache>
                <c:formatCode>0.0</c:formatCode>
                <c:ptCount val="44"/>
                <c:pt idx="0">
                  <c:v>2.89</c:v>
                </c:pt>
                <c:pt idx="1">
                  <c:v>1.02</c:v>
                </c:pt>
                <c:pt idx="2">
                  <c:v>1.8</c:v>
                </c:pt>
                <c:pt idx="3">
                  <c:v>3.95</c:v>
                </c:pt>
                <c:pt idx="4">
                  <c:v>4.74</c:v>
                </c:pt>
                <c:pt idx="5">
                  <c:v>4.3</c:v>
                </c:pt>
                <c:pt idx="6">
                  <c:v>7.43</c:v>
                </c:pt>
                <c:pt idx="7">
                  <c:v>7.37</c:v>
                </c:pt>
                <c:pt idx="8">
                  <c:v>7.06</c:v>
                </c:pt>
                <c:pt idx="9">
                  <c:v>7.31</c:v>
                </c:pt>
                <c:pt idx="10">
                  <c:v>10.44</c:v>
                </c:pt>
                <c:pt idx="11">
                  <c:v>15.06</c:v>
                </c:pt>
                <c:pt idx="12">
                  <c:v>8.02</c:v>
                </c:pt>
                <c:pt idx="13">
                  <c:v>8.14</c:v>
                </c:pt>
                <c:pt idx="14">
                  <c:v>9.74</c:v>
                </c:pt>
                <c:pt idx="15">
                  <c:v>11.34</c:v>
                </c:pt>
                <c:pt idx="16">
                  <c:v>10.130000000000001</c:v>
                </c:pt>
                <c:pt idx="17">
                  <c:v>13.17</c:v>
                </c:pt>
                <c:pt idx="18">
                  <c:v>13.92</c:v>
                </c:pt>
                <c:pt idx="19">
                  <c:v>16.87</c:v>
                </c:pt>
                <c:pt idx="20">
                  <c:v>13.78</c:v>
                </c:pt>
                <c:pt idx="21">
                  <c:v>16.7</c:v>
                </c:pt>
                <c:pt idx="22">
                  <c:v>16.22</c:v>
                </c:pt>
                <c:pt idx="23">
                  <c:v>21.83</c:v>
                </c:pt>
                <c:pt idx="24">
                  <c:v>21.37</c:v>
                </c:pt>
                <c:pt idx="25">
                  <c:v>24.84</c:v>
                </c:pt>
                <c:pt idx="26">
                  <c:v>19.71</c:v>
                </c:pt>
                <c:pt idx="27">
                  <c:v>24.47</c:v>
                </c:pt>
                <c:pt idx="28">
                  <c:v>21.92</c:v>
                </c:pt>
                <c:pt idx="29">
                  <c:v>25.26</c:v>
                </c:pt>
                <c:pt idx="30">
                  <c:v>28</c:v>
                </c:pt>
                <c:pt idx="31">
                  <c:v>30.34</c:v>
                </c:pt>
                <c:pt idx="32">
                  <c:v>31.74</c:v>
                </c:pt>
                <c:pt idx="33">
                  <c:v>39.75</c:v>
                </c:pt>
                <c:pt idx="34">
                  <c:v>33.46</c:v>
                </c:pt>
                <c:pt idx="35">
                  <c:v>38.68</c:v>
                </c:pt>
                <c:pt idx="36">
                  <c:v>41.21</c:v>
                </c:pt>
                <c:pt idx="37">
                  <c:v>40.26</c:v>
                </c:pt>
                <c:pt idx="38">
                  <c:v>35.21</c:v>
                </c:pt>
                <c:pt idx="39">
                  <c:v>20.85</c:v>
                </c:pt>
                <c:pt idx="40">
                  <c:v>14.65</c:v>
                </c:pt>
                <c:pt idx="41">
                  <c:v>6.64</c:v>
                </c:pt>
                <c:pt idx="42">
                  <c:v>2.99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F4-49D2-830A-99CE8BA83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CPU %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spike: CPU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API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ทรัพยากรเครื่อง!$B$101:$B$121</c:f>
              <c:numCache>
                <c:formatCode>#,##0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101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</c:numCache>
            </c:numRef>
          </c:cat>
          <c:val>
            <c:numRef>
              <c:f>ทรัพยากรเครื่อง!$C$101:$C$121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2.8</c:v>
                </c:pt>
                <c:pt idx="5">
                  <c:v>9.8000000000000007</c:v>
                </c:pt>
                <c:pt idx="6">
                  <c:v>12.8</c:v>
                </c:pt>
                <c:pt idx="7">
                  <c:v>12.2</c:v>
                </c:pt>
                <c:pt idx="8">
                  <c:v>12.9</c:v>
                </c:pt>
                <c:pt idx="9">
                  <c:v>13</c:v>
                </c:pt>
                <c:pt idx="10">
                  <c:v>13.2</c:v>
                </c:pt>
                <c:pt idx="11">
                  <c:v>13.3</c:v>
                </c:pt>
                <c:pt idx="12">
                  <c:v>10.6</c:v>
                </c:pt>
                <c:pt idx="13">
                  <c:v>5.7</c:v>
                </c:pt>
                <c:pt idx="14">
                  <c:v>0.6</c:v>
                </c:pt>
                <c:pt idx="15">
                  <c:v>0.5</c:v>
                </c:pt>
                <c:pt idx="16">
                  <c:v>0.6</c:v>
                </c:pt>
                <c:pt idx="17">
                  <c:v>0.5</c:v>
                </c:pt>
                <c:pt idx="18">
                  <c:v>0.4</c:v>
                </c:pt>
                <c:pt idx="19">
                  <c:v>0.5</c:v>
                </c:pt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5-45E1-A86E-3D209B6FF821}"/>
            </c:ext>
          </c:extLst>
        </c:ser>
        <c:ser>
          <c:idx val="1"/>
          <c:order val="1"/>
          <c:tx>
            <c:v>ฐานข้อมูล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ทรัพยากรเครื่อง!$B$101:$B$121</c:f>
              <c:numCache>
                <c:formatCode>#,##0</c:formatCode>
                <c:ptCount val="21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101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</c:numCache>
            </c:numRef>
          </c:cat>
          <c:val>
            <c:numRef>
              <c:f>ทรัพยากรเครื่อง!$E$101:$E$121</c:f>
              <c:numCache>
                <c:formatCode>0.0</c:formatCode>
                <c:ptCount val="21"/>
                <c:pt idx="0">
                  <c:v>0.02</c:v>
                </c:pt>
                <c:pt idx="1">
                  <c:v>0.41</c:v>
                </c:pt>
                <c:pt idx="2">
                  <c:v>1.07</c:v>
                </c:pt>
                <c:pt idx="3">
                  <c:v>2.97</c:v>
                </c:pt>
                <c:pt idx="4">
                  <c:v>21.31</c:v>
                </c:pt>
                <c:pt idx="5">
                  <c:v>43.5</c:v>
                </c:pt>
                <c:pt idx="6">
                  <c:v>41.18</c:v>
                </c:pt>
                <c:pt idx="7">
                  <c:v>41.24</c:v>
                </c:pt>
                <c:pt idx="8">
                  <c:v>42.18</c:v>
                </c:pt>
                <c:pt idx="9">
                  <c:v>44.09</c:v>
                </c:pt>
                <c:pt idx="10">
                  <c:v>41.49</c:v>
                </c:pt>
                <c:pt idx="11">
                  <c:v>35.65</c:v>
                </c:pt>
                <c:pt idx="12">
                  <c:v>27.73</c:v>
                </c:pt>
                <c:pt idx="13">
                  <c:v>3.22</c:v>
                </c:pt>
                <c:pt idx="14">
                  <c:v>0.85</c:v>
                </c:pt>
                <c:pt idx="15">
                  <c:v>1.54</c:v>
                </c:pt>
                <c:pt idx="16">
                  <c:v>3.03</c:v>
                </c:pt>
                <c:pt idx="17">
                  <c:v>0.75</c:v>
                </c:pt>
                <c:pt idx="18">
                  <c:v>1.28</c:v>
                </c:pt>
                <c:pt idx="19">
                  <c:v>3.55</c:v>
                </c:pt>
                <c:pt idx="20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5-45E1-A86E-3D209B6FF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CPU %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pdf: CPU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API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ทรัพยากรเครื่อง!$B$123:$B$154</c:f>
              <c:numCache>
                <c:formatCode>#,##0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51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101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170</c:v>
                </c:pt>
                <c:pt idx="28">
                  <c:v>176</c:v>
                </c:pt>
                <c:pt idx="29">
                  <c:v>182</c:v>
                </c:pt>
                <c:pt idx="30">
                  <c:v>188</c:v>
                </c:pt>
                <c:pt idx="31">
                  <c:v>194</c:v>
                </c:pt>
              </c:numCache>
            </c:numRef>
          </c:cat>
          <c:val>
            <c:numRef>
              <c:f>ทรัพยากรเครื่อง!$C$123:$C$154</c:f>
              <c:numCache>
                <c:formatCode>0.0</c:formatCode>
                <c:ptCount val="32"/>
                <c:pt idx="0">
                  <c:v>0.2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0.2</c:v>
                </c:pt>
                <c:pt idx="5">
                  <c:v>0.1</c:v>
                </c:pt>
                <c:pt idx="6">
                  <c:v>0.2</c:v>
                </c:pt>
                <c:pt idx="7">
                  <c:v>0.2</c:v>
                </c:pt>
                <c:pt idx="8">
                  <c:v>0.1</c:v>
                </c:pt>
                <c:pt idx="9">
                  <c:v>0.2</c:v>
                </c:pt>
                <c:pt idx="10">
                  <c:v>0.5</c:v>
                </c:pt>
                <c:pt idx="11">
                  <c:v>1</c:v>
                </c:pt>
                <c:pt idx="12">
                  <c:v>1.2</c:v>
                </c:pt>
                <c:pt idx="13">
                  <c:v>1.3</c:v>
                </c:pt>
                <c:pt idx="14">
                  <c:v>0.6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0.9</c:v>
                </c:pt>
                <c:pt idx="19">
                  <c:v>0.6</c:v>
                </c:pt>
                <c:pt idx="20">
                  <c:v>0.7</c:v>
                </c:pt>
                <c:pt idx="21">
                  <c:v>0.7</c:v>
                </c:pt>
                <c:pt idx="22">
                  <c:v>1.1000000000000001</c:v>
                </c:pt>
                <c:pt idx="23">
                  <c:v>1</c:v>
                </c:pt>
                <c:pt idx="24">
                  <c:v>0.9</c:v>
                </c:pt>
                <c:pt idx="25">
                  <c:v>0.9</c:v>
                </c:pt>
                <c:pt idx="26">
                  <c:v>1</c:v>
                </c:pt>
                <c:pt idx="27">
                  <c:v>1.2</c:v>
                </c:pt>
                <c:pt idx="28">
                  <c:v>0.9</c:v>
                </c:pt>
                <c:pt idx="29">
                  <c:v>1</c:v>
                </c:pt>
                <c:pt idx="30">
                  <c:v>0.8</c:v>
                </c:pt>
                <c:pt idx="3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0D-4869-8C8C-9D0098F5B7B9}"/>
            </c:ext>
          </c:extLst>
        </c:ser>
        <c:ser>
          <c:idx val="1"/>
          <c:order val="1"/>
          <c:tx>
            <c:v>ฐานข้อมูล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ทรัพยากรเครื่อง!$B$123:$B$154</c:f>
              <c:numCache>
                <c:formatCode>#,##0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51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101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170</c:v>
                </c:pt>
                <c:pt idx="28">
                  <c:v>176</c:v>
                </c:pt>
                <c:pt idx="29">
                  <c:v>182</c:v>
                </c:pt>
                <c:pt idx="30">
                  <c:v>188</c:v>
                </c:pt>
                <c:pt idx="31">
                  <c:v>194</c:v>
                </c:pt>
              </c:numCache>
            </c:numRef>
          </c:cat>
          <c:val>
            <c:numRef>
              <c:f>ทรัพยากรเครื่อง!$E$123:$E$154</c:f>
              <c:numCache>
                <c:formatCode>0.0</c:formatCode>
                <c:ptCount val="32"/>
                <c:pt idx="0">
                  <c:v>0.2</c:v>
                </c:pt>
                <c:pt idx="1">
                  <c:v>0.24</c:v>
                </c:pt>
                <c:pt idx="2">
                  <c:v>0</c:v>
                </c:pt>
                <c:pt idx="3">
                  <c:v>0.02</c:v>
                </c:pt>
                <c:pt idx="4">
                  <c:v>0.2</c:v>
                </c:pt>
                <c:pt idx="5">
                  <c:v>2.4300000000000002</c:v>
                </c:pt>
                <c:pt idx="6">
                  <c:v>0.16</c:v>
                </c:pt>
                <c:pt idx="7">
                  <c:v>0</c:v>
                </c:pt>
                <c:pt idx="8">
                  <c:v>0.61</c:v>
                </c:pt>
                <c:pt idx="9">
                  <c:v>2.2999999999999998</c:v>
                </c:pt>
                <c:pt idx="10">
                  <c:v>0.2</c:v>
                </c:pt>
                <c:pt idx="11">
                  <c:v>0</c:v>
                </c:pt>
                <c:pt idx="12">
                  <c:v>0.34</c:v>
                </c:pt>
                <c:pt idx="13">
                  <c:v>2.1</c:v>
                </c:pt>
                <c:pt idx="14">
                  <c:v>0.15</c:v>
                </c:pt>
                <c:pt idx="15">
                  <c:v>0.33</c:v>
                </c:pt>
                <c:pt idx="16">
                  <c:v>0.18</c:v>
                </c:pt>
                <c:pt idx="17">
                  <c:v>2.02</c:v>
                </c:pt>
                <c:pt idx="18">
                  <c:v>0.2</c:v>
                </c:pt>
                <c:pt idx="19">
                  <c:v>0.22</c:v>
                </c:pt>
                <c:pt idx="20">
                  <c:v>0.3</c:v>
                </c:pt>
                <c:pt idx="21">
                  <c:v>2.61</c:v>
                </c:pt>
                <c:pt idx="22">
                  <c:v>0.49</c:v>
                </c:pt>
                <c:pt idx="23">
                  <c:v>0.63</c:v>
                </c:pt>
                <c:pt idx="24">
                  <c:v>0.65</c:v>
                </c:pt>
                <c:pt idx="25">
                  <c:v>2.68</c:v>
                </c:pt>
                <c:pt idx="26">
                  <c:v>0.63</c:v>
                </c:pt>
                <c:pt idx="27">
                  <c:v>0.53</c:v>
                </c:pt>
                <c:pt idx="28">
                  <c:v>0.41</c:v>
                </c:pt>
                <c:pt idx="29">
                  <c:v>0.46</c:v>
                </c:pt>
                <c:pt idx="30">
                  <c:v>2.81</c:v>
                </c:pt>
                <c:pt idx="3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0D-4869-8C8C-9D0098F5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CPU %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93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76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35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76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35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99"/>
  </sheetPr>
  <dimension ref="A1:K18"/>
  <sheetViews>
    <sheetView showGridLines="0" tabSelected="1" workbookViewId="0"/>
  </sheetViews>
  <sheetFormatPr defaultRowHeight="14.4" x14ac:dyDescent="0.3"/>
  <cols>
    <col min="1" max="1" width="38" customWidth="1"/>
    <col min="2" max="2" width="13" customWidth="1"/>
    <col min="3" max="4" width="12" customWidth="1"/>
    <col min="5" max="6" width="10" customWidth="1"/>
    <col min="7" max="7" width="11" customWidth="1"/>
    <col min="8" max="8" width="13" customWidth="1"/>
    <col min="9" max="11" width="12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4" spans="1:11" ht="31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3">
      <c r="A5" s="4" t="s">
        <v>13</v>
      </c>
      <c r="B5" s="5">
        <v>2</v>
      </c>
      <c r="C5" s="5">
        <v>31</v>
      </c>
      <c r="D5" s="5">
        <f>SUM('ผลรายเส้น API'!D5:D19)</f>
        <v>148</v>
      </c>
      <c r="E5" s="5">
        <f>SUM('ผลรายเส้น API'!E5:E19)</f>
        <v>0</v>
      </c>
      <c r="F5" s="6">
        <f t="shared" ref="F5:F10" si="0">IF(D5=0,0,E5/D5)</f>
        <v>0</v>
      </c>
      <c r="G5" s="7">
        <f>D5/C5</f>
        <v>4.774193548387097</v>
      </c>
      <c r="H5" s="7">
        <v>21.04779335000001</v>
      </c>
      <c r="I5" s="7">
        <v>32.041161000000002</v>
      </c>
      <c r="J5" s="5">
        <f>COUNTIF('ผลรายเส้น API'!M5:M19,"ไม่ผ่าน")</f>
        <v>0</v>
      </c>
      <c r="K5" s="8" t="str">
        <f>IF(J5=0,"ผ่าน","ไม่ผ่าน")</f>
        <v>ผ่าน</v>
      </c>
    </row>
    <row r="6" spans="1:11" x14ac:dyDescent="0.3">
      <c r="A6" s="4" t="s">
        <v>14</v>
      </c>
      <c r="B6" s="5">
        <v>40</v>
      </c>
      <c r="C6" s="5">
        <v>273</v>
      </c>
      <c r="D6" s="5">
        <f>SUM('ผลรายเส้น API'!D20:D34)</f>
        <v>21126</v>
      </c>
      <c r="E6" s="5">
        <f>SUM('ผลรายเส้น API'!E20:E34)</f>
        <v>0</v>
      </c>
      <c r="F6" s="6">
        <f t="shared" si="0"/>
        <v>0</v>
      </c>
      <c r="G6" s="7">
        <f>D6/C6</f>
        <v>77.384615384615387</v>
      </c>
      <c r="H6" s="7">
        <v>14.887148</v>
      </c>
      <c r="I6" s="7">
        <v>65.207700000000003</v>
      </c>
      <c r="J6" s="5">
        <f>COUNTIF('ผลรายเส้น API'!M20:M34,"ไม่ผ่าน")</f>
        <v>0</v>
      </c>
      <c r="K6" s="8" t="str">
        <f>IF(J6=0,"ผ่าน","ไม่ผ่าน")</f>
        <v>ผ่าน</v>
      </c>
    </row>
    <row r="7" spans="1:11" x14ac:dyDescent="0.3">
      <c r="A7" s="4" t="s">
        <v>15</v>
      </c>
      <c r="B7" s="5">
        <v>300</v>
      </c>
      <c r="C7" s="5">
        <v>274</v>
      </c>
      <c r="D7" s="5">
        <f>SUM('ผลรายเส้น API'!D35:D49)</f>
        <v>81115</v>
      </c>
      <c r="E7" s="5">
        <f>SUM('ผลรายเส้น API'!E35:E49)</f>
        <v>0</v>
      </c>
      <c r="F7" s="6">
        <f t="shared" si="0"/>
        <v>0</v>
      </c>
      <c r="G7" s="7">
        <f>D7/C7</f>
        <v>296.04014598540147</v>
      </c>
      <c r="H7" s="7">
        <v>20.808969699999999</v>
      </c>
      <c r="I7" s="7">
        <v>94.758784000000006</v>
      </c>
      <c r="J7" s="5">
        <f>COUNTIF('ผลรายเส้น API'!M35:M49,"ไม่ผ่าน")</f>
        <v>0</v>
      </c>
      <c r="K7" s="8" t="str">
        <f>IF(J7=0,"ผ่าน","ไม่ผ่าน")</f>
        <v>ผ่าน</v>
      </c>
    </row>
    <row r="8" spans="1:11" x14ac:dyDescent="0.3">
      <c r="A8" s="4" t="s">
        <v>16</v>
      </c>
      <c r="B8" s="5">
        <v>300</v>
      </c>
      <c r="C8" s="5">
        <v>133</v>
      </c>
      <c r="D8" s="5">
        <f>SUM('ผลรายเส้น API'!D50:D64)</f>
        <v>36992</v>
      </c>
      <c r="E8" s="5">
        <f>SUM('ผลรายเส้น API'!E50:E64)</f>
        <v>0</v>
      </c>
      <c r="F8" s="6">
        <f t="shared" si="0"/>
        <v>0</v>
      </c>
      <c r="G8" s="7">
        <f>D8/C8</f>
        <v>278.13533834586468</v>
      </c>
      <c r="H8" s="7">
        <v>35.174190099999997</v>
      </c>
      <c r="I8" s="7">
        <v>98.858687000000003</v>
      </c>
      <c r="J8" s="5">
        <f>COUNTIF('ผลรายเส้น API'!M50:M64,"ไม่ผ่าน")</f>
        <v>0</v>
      </c>
      <c r="K8" s="8" t="str">
        <f>IF(J8=0,"ผ่าน","ไม่ผ่าน")</f>
        <v>ผ่าน</v>
      </c>
    </row>
    <row r="9" spans="1:11" x14ac:dyDescent="0.3">
      <c r="A9" s="4" t="s">
        <v>17</v>
      </c>
      <c r="B9" s="5">
        <v>5</v>
      </c>
      <c r="C9" s="5">
        <v>202</v>
      </c>
      <c r="D9" s="5">
        <f>SUM('ผลรายเส้น API'!D65:D65)</f>
        <v>254</v>
      </c>
      <c r="E9" s="5">
        <f>SUM('ผลรายเส้น API'!E65:E65)</f>
        <v>0</v>
      </c>
      <c r="F9" s="6">
        <f t="shared" si="0"/>
        <v>0</v>
      </c>
      <c r="G9" s="7">
        <f>D9/C9</f>
        <v>1.2574257425742574</v>
      </c>
      <c r="H9" s="7">
        <v>1899.4901523000001</v>
      </c>
      <c r="I9" s="7">
        <v>2023.886448</v>
      </c>
      <c r="J9" s="5">
        <f>COUNTIF('ผลรายเส้น API'!M65:M65,"ไม่ผ่าน")</f>
        <v>0</v>
      </c>
      <c r="K9" s="8" t="str">
        <f>IF(J9=0,"ผ่าน","ไม่ผ่าน")</f>
        <v>ผ่าน</v>
      </c>
    </row>
    <row r="10" spans="1:11" x14ac:dyDescent="0.3">
      <c r="A10" s="9" t="s">
        <v>18</v>
      </c>
      <c r="D10" s="10">
        <f>SUM(D5:D9)</f>
        <v>139635</v>
      </c>
      <c r="E10" s="10">
        <f>SUM(E5:E9)</f>
        <v>0</v>
      </c>
      <c r="F10" s="11">
        <f t="shared" si="0"/>
        <v>0</v>
      </c>
    </row>
    <row r="12" spans="1:11" x14ac:dyDescent="0.3">
      <c r="A12" s="12" t="s">
        <v>19</v>
      </c>
    </row>
    <row r="13" spans="1:11" ht="31.95" customHeight="1" x14ac:dyDescent="0.3">
      <c r="A13" s="24" t="s">
        <v>20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31.95" customHeight="1" x14ac:dyDescent="0.3">
      <c r="A14" s="24" t="s">
        <v>21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ht="31.95" customHeight="1" x14ac:dyDescent="0.3">
      <c r="A15" s="24" t="s">
        <v>22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31.95" customHeight="1" x14ac:dyDescent="0.3">
      <c r="A16" s="24" t="s">
        <v>23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31.95" customHeight="1" x14ac:dyDescent="0.3">
      <c r="A17" s="24" t="s">
        <v>24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31.95" customHeight="1" x14ac:dyDescent="0.3">
      <c r="A18" s="24" t="s">
        <v>25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</sheetData>
  <mergeCells count="6">
    <mergeCell ref="A18:K18"/>
    <mergeCell ref="A15:K15"/>
    <mergeCell ref="A16:K16"/>
    <mergeCell ref="A13:K13"/>
    <mergeCell ref="A14:K14"/>
    <mergeCell ref="A17:K17"/>
  </mergeCells>
  <conditionalFormatting sqref="K5:K9">
    <cfRule type="cellIs" dxfId="28" priority="1" operator="equal">
      <formula>"ผ่าน"</formula>
    </cfRule>
    <cfRule type="cellIs" dxfId="27" priority="2" operator="equal">
      <formula>"ไม่ผ่าน"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5309"/>
  </sheetPr>
  <dimension ref="A1:J89"/>
  <sheetViews>
    <sheetView showGridLines="0" workbookViewId="0"/>
  </sheetViews>
  <sheetFormatPr defaultRowHeight="14.4" x14ac:dyDescent="0.3"/>
  <cols>
    <col min="1" max="1" width="38" customWidth="1"/>
    <col min="2" max="2" width="30" customWidth="1"/>
    <col min="3" max="4" width="14" customWidth="1"/>
    <col min="5" max="5" width="12" customWidth="1"/>
    <col min="8" max="10" width="14" customWidth="1"/>
  </cols>
  <sheetData>
    <row r="1" spans="1:10" ht="17.399999999999999" x14ac:dyDescent="0.3">
      <c r="A1" s="1" t="s">
        <v>26</v>
      </c>
    </row>
    <row r="2" spans="1:10" x14ac:dyDescent="0.3">
      <c r="A2" s="2" t="s">
        <v>27</v>
      </c>
    </row>
    <row r="4" spans="1:10" ht="31.95" customHeight="1" x14ac:dyDescent="0.3">
      <c r="A4" s="3" t="s">
        <v>2</v>
      </c>
      <c r="B4" s="3" t="s">
        <v>28</v>
      </c>
      <c r="C4" s="3" t="s">
        <v>29</v>
      </c>
      <c r="D4" s="3" t="s">
        <v>30</v>
      </c>
      <c r="E4" s="3" t="s">
        <v>31</v>
      </c>
      <c r="H4" s="13" t="s">
        <v>2</v>
      </c>
      <c r="I4" s="13" t="s">
        <v>29</v>
      </c>
      <c r="J4" s="13" t="s">
        <v>30</v>
      </c>
    </row>
    <row r="5" spans="1:10" x14ac:dyDescent="0.3">
      <c r="A5" s="9" t="s">
        <v>13</v>
      </c>
      <c r="B5" s="4" t="s">
        <v>8</v>
      </c>
      <c r="C5" s="7">
        <v>4.3203880185968258</v>
      </c>
      <c r="D5" s="7">
        <v>4.8035378015932988</v>
      </c>
      <c r="E5" s="14">
        <f t="shared" ref="E5:E38" si="0">IF(OR(C5="",C5=0),"-",(D5-C5)/C5)</f>
        <v>0.11183018305688902</v>
      </c>
      <c r="H5" t="str">
        <f>LEFT(A6,FIND(" ",A6)-1)</f>
        <v>Smoke</v>
      </c>
      <c r="I5" s="15">
        <f>C6</f>
        <v>58.215458000000012</v>
      </c>
      <c r="J5" s="15">
        <f>D6</f>
        <v>21.04779335000001</v>
      </c>
    </row>
    <row r="6" spans="1:10" x14ac:dyDescent="0.3">
      <c r="A6" s="4" t="s">
        <v>13</v>
      </c>
      <c r="B6" s="4" t="s">
        <v>32</v>
      </c>
      <c r="C6" s="7">
        <v>58.215458000000012</v>
      </c>
      <c r="D6" s="7">
        <v>21.04779335000001</v>
      </c>
      <c r="E6" s="14">
        <f t="shared" si="0"/>
        <v>-0.6384500943031316</v>
      </c>
      <c r="H6" t="str">
        <f>LEFT(A13,FIND(" ",A13)-1)</f>
        <v>Load</v>
      </c>
      <c r="I6" s="15">
        <f>C13</f>
        <v>52.908717800000012</v>
      </c>
      <c r="J6" s="15">
        <f>D13</f>
        <v>14.887148</v>
      </c>
    </row>
    <row r="7" spans="1:10" x14ac:dyDescent="0.3">
      <c r="A7" s="4" t="s">
        <v>13</v>
      </c>
      <c r="B7" s="4" t="s">
        <v>33</v>
      </c>
      <c r="C7" s="7">
        <v>77.443664300000066</v>
      </c>
      <c r="D7" s="7">
        <v>23.163326250000001</v>
      </c>
      <c r="E7" s="14">
        <f t="shared" si="0"/>
        <v>-0.70090095220352355</v>
      </c>
      <c r="H7" t="str">
        <f>LEFT(A20,FIND(" ",A20)-1)</f>
        <v>Stress</v>
      </c>
      <c r="I7" s="15">
        <f>C20</f>
        <v>906.77194600000007</v>
      </c>
      <c r="J7" s="15">
        <f>D20</f>
        <v>20.808969699999999</v>
      </c>
    </row>
    <row r="8" spans="1:10" x14ac:dyDescent="0.3">
      <c r="A8" s="4" t="s">
        <v>13</v>
      </c>
      <c r="B8" s="4" t="s">
        <v>10</v>
      </c>
      <c r="C8" s="7">
        <v>99.697486999999995</v>
      </c>
      <c r="D8" s="7">
        <v>32.041161000000002</v>
      </c>
      <c r="E8" s="14">
        <f t="shared" si="0"/>
        <v>-0.67861616211048525</v>
      </c>
      <c r="H8" t="str">
        <f>LEFT(A27,FIND(" ",A27)-1)</f>
        <v>Spike</v>
      </c>
      <c r="I8" s="15">
        <f>C27</f>
        <v>1521.334773000001</v>
      </c>
      <c r="J8" s="15">
        <f>D27</f>
        <v>35.174190099999997</v>
      </c>
    </row>
    <row r="9" spans="1:10" x14ac:dyDescent="0.3">
      <c r="A9" s="4" t="s">
        <v>13</v>
      </c>
      <c r="B9" s="4" t="s">
        <v>34</v>
      </c>
      <c r="C9" s="7">
        <v>1.773118</v>
      </c>
      <c r="D9" s="7">
        <v>0.44062699999999999</v>
      </c>
      <c r="E9" s="14">
        <f t="shared" si="0"/>
        <v>-0.75149595232804589</v>
      </c>
      <c r="H9" t="str">
        <f>LEFT(A34,FIND(" ",A34)-1)</f>
        <v>PDF</v>
      </c>
      <c r="I9" s="15">
        <f>C34</f>
        <v>2155.2895262500001</v>
      </c>
      <c r="J9" s="15">
        <f>D34</f>
        <v>1899.4901523000001</v>
      </c>
    </row>
    <row r="10" spans="1:10" x14ac:dyDescent="0.3">
      <c r="A10" s="4" t="s">
        <v>13</v>
      </c>
      <c r="B10" s="4" t="s">
        <v>35</v>
      </c>
      <c r="C10" s="7">
        <v>11.900120805369131</v>
      </c>
      <c r="D10" s="7">
        <v>2.9572281879194628</v>
      </c>
      <c r="E10" s="14">
        <f t="shared" si="0"/>
        <v>-0.751495952328046</v>
      </c>
    </row>
    <row r="11" spans="1:10" x14ac:dyDescent="0.3">
      <c r="A11" s="4" t="s">
        <v>13</v>
      </c>
      <c r="B11" s="4" t="s">
        <v>7</v>
      </c>
      <c r="C11" s="6">
        <v>0</v>
      </c>
      <c r="D11" s="6">
        <v>0</v>
      </c>
      <c r="E11" s="14" t="str">
        <f t="shared" si="0"/>
        <v>-</v>
      </c>
    </row>
    <row r="12" spans="1:10" x14ac:dyDescent="0.3">
      <c r="A12" s="9" t="s">
        <v>14</v>
      </c>
      <c r="B12" s="4" t="s">
        <v>8</v>
      </c>
      <c r="C12" s="7">
        <v>74.634123310582027</v>
      </c>
      <c r="D12" s="7">
        <v>77.307145728743123</v>
      </c>
      <c r="E12" s="14">
        <f t="shared" si="0"/>
        <v>3.5815017308337575E-2</v>
      </c>
    </row>
    <row r="13" spans="1:10" x14ac:dyDescent="0.3">
      <c r="A13" s="4" t="s">
        <v>14</v>
      </c>
      <c r="B13" s="4" t="s">
        <v>32</v>
      </c>
      <c r="C13" s="7">
        <v>52.908717800000012</v>
      </c>
      <c r="D13" s="7">
        <v>14.887148</v>
      </c>
      <c r="E13" s="14">
        <f t="shared" si="0"/>
        <v>-0.71862580272168308</v>
      </c>
    </row>
    <row r="14" spans="1:10" x14ac:dyDescent="0.3">
      <c r="A14" s="4" t="s">
        <v>14</v>
      </c>
      <c r="B14" s="4" t="s">
        <v>33</v>
      </c>
      <c r="C14" s="7">
        <v>58.651650399999987</v>
      </c>
      <c r="D14" s="7">
        <v>16.344337249999999</v>
      </c>
      <c r="E14" s="14">
        <f t="shared" si="0"/>
        <v>-0.72133201472536901</v>
      </c>
    </row>
    <row r="15" spans="1:10" x14ac:dyDescent="0.3">
      <c r="A15" s="4" t="s">
        <v>14</v>
      </c>
      <c r="B15" s="4" t="s">
        <v>10</v>
      </c>
      <c r="C15" s="7">
        <v>198.09479200000001</v>
      </c>
      <c r="D15" s="7">
        <v>65.207700000000003</v>
      </c>
      <c r="E15" s="14">
        <f t="shared" si="0"/>
        <v>-0.67082577314803904</v>
      </c>
    </row>
    <row r="16" spans="1:10" x14ac:dyDescent="0.3">
      <c r="A16" s="4" t="s">
        <v>14</v>
      </c>
      <c r="B16" s="4" t="s">
        <v>34</v>
      </c>
      <c r="C16" s="7">
        <v>236.72832099999999</v>
      </c>
      <c r="D16" s="7">
        <v>61.89772</v>
      </c>
      <c r="E16" s="14">
        <f t="shared" si="0"/>
        <v>-0.738528454311979</v>
      </c>
    </row>
    <row r="17" spans="1:5" x14ac:dyDescent="0.3">
      <c r="A17" s="4" t="s">
        <v>14</v>
      </c>
      <c r="B17" s="4" t="s">
        <v>35</v>
      </c>
      <c r="C17" s="7">
        <v>11.619138166290369</v>
      </c>
      <c r="D17" s="7">
        <v>2.9297922090216311</v>
      </c>
      <c r="E17" s="14">
        <f t="shared" si="0"/>
        <v>-0.74784771752507506</v>
      </c>
    </row>
    <row r="18" spans="1:5" x14ac:dyDescent="0.3">
      <c r="A18" s="4" t="s">
        <v>14</v>
      </c>
      <c r="B18" s="4" t="s">
        <v>7</v>
      </c>
      <c r="C18" s="6">
        <v>0</v>
      </c>
      <c r="D18" s="6">
        <v>0</v>
      </c>
      <c r="E18" s="14" t="str">
        <f t="shared" si="0"/>
        <v>-</v>
      </c>
    </row>
    <row r="19" spans="1:5" x14ac:dyDescent="0.3">
      <c r="A19" s="9" t="s">
        <v>15</v>
      </c>
      <c r="B19" s="4" t="s">
        <v>8</v>
      </c>
      <c r="C19" s="7">
        <v>176.84559211377879</v>
      </c>
      <c r="D19" s="7">
        <v>296.48479816248113</v>
      </c>
      <c r="E19" s="14">
        <f t="shared" si="0"/>
        <v>0.67651788556725201</v>
      </c>
    </row>
    <row r="20" spans="1:5" x14ac:dyDescent="0.3">
      <c r="A20" s="4" t="s">
        <v>15</v>
      </c>
      <c r="B20" s="4" t="s">
        <v>32</v>
      </c>
      <c r="C20" s="7">
        <v>906.77194600000007</v>
      </c>
      <c r="D20" s="7">
        <v>20.808969699999999</v>
      </c>
      <c r="E20" s="14">
        <f t="shared" si="0"/>
        <v>-0.97705159517583928</v>
      </c>
    </row>
    <row r="21" spans="1:5" x14ac:dyDescent="0.3">
      <c r="A21" s="4" t="s">
        <v>15</v>
      </c>
      <c r="B21" s="4" t="s">
        <v>33</v>
      </c>
      <c r="C21" s="7">
        <v>1119.7195498999999</v>
      </c>
      <c r="D21" s="7">
        <v>24.22233060000001</v>
      </c>
      <c r="E21" s="14">
        <f t="shared" si="0"/>
        <v>-0.97836750228915503</v>
      </c>
    </row>
    <row r="22" spans="1:5" x14ac:dyDescent="0.3">
      <c r="A22" s="4" t="s">
        <v>15</v>
      </c>
      <c r="B22" s="4" t="s">
        <v>10</v>
      </c>
      <c r="C22" s="7">
        <v>2097.0434479999999</v>
      </c>
      <c r="D22" s="7">
        <v>94.758784000000006</v>
      </c>
      <c r="E22" s="14">
        <f t="shared" si="0"/>
        <v>-0.9548131517778643</v>
      </c>
    </row>
    <row r="23" spans="1:5" x14ac:dyDescent="0.3">
      <c r="A23" s="4" t="s">
        <v>15</v>
      </c>
      <c r="B23" s="4" t="s">
        <v>34</v>
      </c>
      <c r="C23" s="7">
        <v>516.00204499999995</v>
      </c>
      <c r="D23" s="7">
        <v>237.904438</v>
      </c>
      <c r="E23" s="14">
        <f t="shared" si="0"/>
        <v>-0.5389467148332715</v>
      </c>
    </row>
    <row r="24" spans="1:5" x14ac:dyDescent="0.3">
      <c r="A24" s="4" t="s">
        <v>15</v>
      </c>
      <c r="B24" s="4" t="s">
        <v>35</v>
      </c>
      <c r="C24" s="7">
        <v>10.67619889514194</v>
      </c>
      <c r="D24" s="7">
        <v>2.932891636668475</v>
      </c>
      <c r="E24" s="14">
        <f t="shared" si="0"/>
        <v>-0.7252869054356933</v>
      </c>
    </row>
    <row r="25" spans="1:5" x14ac:dyDescent="0.3">
      <c r="A25" s="4" t="s">
        <v>15</v>
      </c>
      <c r="B25" s="4" t="s">
        <v>7</v>
      </c>
      <c r="C25" s="6">
        <v>0</v>
      </c>
      <c r="D25" s="6">
        <v>0</v>
      </c>
      <c r="E25" s="14" t="str">
        <f t="shared" si="0"/>
        <v>-</v>
      </c>
    </row>
    <row r="26" spans="1:5" x14ac:dyDescent="0.3">
      <c r="A26" s="9" t="s">
        <v>16</v>
      </c>
      <c r="B26" s="4" t="s">
        <v>8</v>
      </c>
      <c r="C26" s="7">
        <v>119.4510514357523</v>
      </c>
      <c r="D26" s="7">
        <v>277.18868772204701</v>
      </c>
      <c r="E26" s="14">
        <f t="shared" si="0"/>
        <v>1.3205211204954117</v>
      </c>
    </row>
    <row r="27" spans="1:5" x14ac:dyDescent="0.3">
      <c r="A27" s="4" t="s">
        <v>16</v>
      </c>
      <c r="B27" s="4" t="s">
        <v>32</v>
      </c>
      <c r="C27" s="7">
        <v>1521.334773000001</v>
      </c>
      <c r="D27" s="7">
        <v>35.174190099999997</v>
      </c>
      <c r="E27" s="14">
        <f t="shared" si="0"/>
        <v>-0.97687938859726564</v>
      </c>
    </row>
    <row r="28" spans="1:5" x14ac:dyDescent="0.3">
      <c r="A28" s="4" t="s">
        <v>16</v>
      </c>
      <c r="B28" s="4" t="s">
        <v>33</v>
      </c>
      <c r="C28" s="7">
        <v>1800.8181396</v>
      </c>
      <c r="D28" s="7">
        <v>41.79453075</v>
      </c>
      <c r="E28" s="14">
        <f t="shared" si="0"/>
        <v>-0.97679136508515885</v>
      </c>
    </row>
    <row r="29" spans="1:5" x14ac:dyDescent="0.3">
      <c r="A29" s="4" t="s">
        <v>16</v>
      </c>
      <c r="B29" s="4" t="s">
        <v>10</v>
      </c>
      <c r="C29" s="7">
        <v>2140.9381859999999</v>
      </c>
      <c r="D29" s="7">
        <v>98.858687000000003</v>
      </c>
      <c r="E29" s="14">
        <f t="shared" si="0"/>
        <v>-0.95382459538231623</v>
      </c>
    </row>
    <row r="30" spans="1:5" x14ac:dyDescent="0.3">
      <c r="A30" s="4" t="s">
        <v>16</v>
      </c>
      <c r="B30" s="4" t="s">
        <v>34</v>
      </c>
      <c r="C30" s="7">
        <v>161.335722</v>
      </c>
      <c r="D30" s="7">
        <v>108.458016</v>
      </c>
      <c r="E30" s="14">
        <f t="shared" si="0"/>
        <v>-0.32774952344403929</v>
      </c>
    </row>
    <row r="31" spans="1:5" x14ac:dyDescent="0.3">
      <c r="A31" s="4" t="s">
        <v>16</v>
      </c>
      <c r="B31" s="4" t="s">
        <v>35</v>
      </c>
      <c r="C31" s="7">
        <v>10.065867357125031</v>
      </c>
      <c r="D31" s="7">
        <v>2.9318524045089611</v>
      </c>
      <c r="E31" s="14">
        <f t="shared" si="0"/>
        <v>-0.70873325660965758</v>
      </c>
    </row>
    <row r="32" spans="1:5" x14ac:dyDescent="0.3">
      <c r="A32" s="4" t="s">
        <v>16</v>
      </c>
      <c r="B32" s="4" t="s">
        <v>7</v>
      </c>
      <c r="C32" s="6">
        <v>0</v>
      </c>
      <c r="D32" s="6">
        <v>0</v>
      </c>
      <c r="E32" s="14" t="str">
        <f t="shared" si="0"/>
        <v>-</v>
      </c>
    </row>
    <row r="33" spans="1:5" ht="26.4" x14ac:dyDescent="0.3">
      <c r="A33" s="9" t="s">
        <v>17</v>
      </c>
      <c r="B33" s="4" t="s">
        <v>8</v>
      </c>
      <c r="C33" s="7">
        <v>1.0677257679343271</v>
      </c>
      <c r="D33" s="7">
        <v>1.2602665811890019</v>
      </c>
      <c r="E33" s="14">
        <f t="shared" si="0"/>
        <v>0.18032796344999097</v>
      </c>
    </row>
    <row r="34" spans="1:5" x14ac:dyDescent="0.3">
      <c r="A34" s="4" t="s">
        <v>17</v>
      </c>
      <c r="B34" s="4" t="s">
        <v>32</v>
      </c>
      <c r="C34" s="7">
        <v>2155.2895262500001</v>
      </c>
      <c r="D34" s="7">
        <v>1899.4901523000001</v>
      </c>
      <c r="E34" s="14">
        <f t="shared" si="0"/>
        <v>-0.11868446017787074</v>
      </c>
    </row>
    <row r="35" spans="1:5" x14ac:dyDescent="0.3">
      <c r="A35" s="4" t="s">
        <v>17</v>
      </c>
      <c r="B35" s="4" t="s">
        <v>10</v>
      </c>
      <c r="C35" s="7">
        <v>2812.7261659999999</v>
      </c>
      <c r="D35" s="7">
        <v>2023.886448</v>
      </c>
      <c r="E35" s="14">
        <f t="shared" si="0"/>
        <v>-0.2804537916045397</v>
      </c>
    </row>
    <row r="36" spans="1:5" x14ac:dyDescent="0.3">
      <c r="A36" s="4" t="s">
        <v>17</v>
      </c>
      <c r="B36" s="4" t="s">
        <v>34</v>
      </c>
      <c r="C36" s="7">
        <v>90.132626999999999</v>
      </c>
      <c r="D36" s="7">
        <v>105.989018</v>
      </c>
      <c r="E36" s="14">
        <f t="shared" si="0"/>
        <v>0.17592287640745236</v>
      </c>
    </row>
    <row r="37" spans="1:5" x14ac:dyDescent="0.3">
      <c r="A37" s="4" t="s">
        <v>17</v>
      </c>
      <c r="B37" s="4" t="s">
        <v>35</v>
      </c>
      <c r="C37" s="7">
        <v>415.35772811059911</v>
      </c>
      <c r="D37" s="7">
        <v>415.64320784313719</v>
      </c>
      <c r="E37" s="14">
        <f t="shared" si="0"/>
        <v>6.8731051143958188E-4</v>
      </c>
    </row>
    <row r="38" spans="1:5" x14ac:dyDescent="0.3">
      <c r="A38" s="4" t="s">
        <v>17</v>
      </c>
      <c r="B38" s="4" t="s">
        <v>7</v>
      </c>
      <c r="C38" s="6">
        <v>0</v>
      </c>
      <c r="D38" s="6">
        <v>0</v>
      </c>
      <c r="E38" s="14" t="str">
        <f t="shared" si="0"/>
        <v>-</v>
      </c>
    </row>
    <row r="40" spans="1:5" x14ac:dyDescent="0.3">
      <c r="A40" s="12" t="s">
        <v>36</v>
      </c>
    </row>
    <row r="41" spans="1:5" ht="31.95" customHeight="1" x14ac:dyDescent="0.3">
      <c r="A41" s="3" t="s">
        <v>37</v>
      </c>
      <c r="B41" s="3" t="s">
        <v>38</v>
      </c>
      <c r="C41" s="3" t="s">
        <v>29</v>
      </c>
      <c r="D41" s="3" t="s">
        <v>30</v>
      </c>
      <c r="E41" s="3" t="s">
        <v>31</v>
      </c>
    </row>
    <row r="42" spans="1:5" x14ac:dyDescent="0.3">
      <c r="A42" s="4" t="s">
        <v>39</v>
      </c>
      <c r="B42" s="4" t="s">
        <v>40</v>
      </c>
      <c r="C42" s="7">
        <v>18.152015049999999</v>
      </c>
      <c r="D42" s="7">
        <v>6.2646371500000004</v>
      </c>
      <c r="E42" s="14">
        <f t="shared" ref="E42:E71" si="1">IF(C42=0,"-",(D42-C42)/C42)</f>
        <v>-0.65487924438449596</v>
      </c>
    </row>
    <row r="43" spans="1:5" x14ac:dyDescent="0.3">
      <c r="A43" s="4" t="s">
        <v>41</v>
      </c>
      <c r="B43" s="4" t="s">
        <v>42</v>
      </c>
      <c r="C43" s="7">
        <v>17.894407449999989</v>
      </c>
      <c r="D43" s="7">
        <v>6.0394934000000067</v>
      </c>
      <c r="E43" s="14">
        <f t="shared" si="1"/>
        <v>-0.66249268566867181</v>
      </c>
    </row>
    <row r="44" spans="1:5" x14ac:dyDescent="0.3">
      <c r="A44" s="4" t="s">
        <v>43</v>
      </c>
      <c r="B44" s="4" t="s">
        <v>44</v>
      </c>
      <c r="C44" s="7">
        <v>17.168958849999999</v>
      </c>
      <c r="D44" s="7">
        <v>5.6932541000000034</v>
      </c>
      <c r="E44" s="14">
        <f t="shared" si="1"/>
        <v>-0.6683984072802408</v>
      </c>
    </row>
    <row r="45" spans="1:5" x14ac:dyDescent="0.3">
      <c r="A45" s="4" t="s">
        <v>45</v>
      </c>
      <c r="B45" s="4" t="s">
        <v>46</v>
      </c>
      <c r="C45" s="7">
        <v>19.045264549999992</v>
      </c>
      <c r="D45" s="7">
        <v>7.2691600000000038</v>
      </c>
      <c r="E45" s="14">
        <f t="shared" si="1"/>
        <v>-0.61832192034318545</v>
      </c>
    </row>
    <row r="46" spans="1:5" x14ac:dyDescent="0.3">
      <c r="A46" s="4" t="s">
        <v>47</v>
      </c>
      <c r="B46" s="4" t="s">
        <v>48</v>
      </c>
      <c r="C46" s="7">
        <v>32.930021299999993</v>
      </c>
      <c r="D46" s="7">
        <v>10.086808749999999</v>
      </c>
      <c r="E46" s="14">
        <f t="shared" si="1"/>
        <v>-0.6936895771154572</v>
      </c>
    </row>
    <row r="47" spans="1:5" x14ac:dyDescent="0.3">
      <c r="A47" s="4" t="s">
        <v>49</v>
      </c>
      <c r="B47" s="4" t="s">
        <v>50</v>
      </c>
      <c r="C47" s="7">
        <v>30.073478999999988</v>
      </c>
      <c r="D47" s="7">
        <v>9.5593585000000001</v>
      </c>
      <c r="E47" s="14">
        <f t="shared" si="1"/>
        <v>-0.68213326765420113</v>
      </c>
    </row>
    <row r="48" spans="1:5" x14ac:dyDescent="0.3">
      <c r="A48" s="4" t="s">
        <v>51</v>
      </c>
      <c r="B48" s="4" t="s">
        <v>52</v>
      </c>
      <c r="C48" s="7">
        <v>30.209811999999999</v>
      </c>
      <c r="D48" s="7">
        <v>11.0214705</v>
      </c>
      <c r="E48" s="14">
        <f t="shared" si="1"/>
        <v>-0.63516917947056406</v>
      </c>
    </row>
    <row r="49" spans="1:5" x14ac:dyDescent="0.3">
      <c r="A49" s="4" t="s">
        <v>53</v>
      </c>
      <c r="B49" s="4" t="s">
        <v>54</v>
      </c>
      <c r="C49" s="7">
        <v>27.75246919999999</v>
      </c>
      <c r="D49" s="7">
        <v>8.6233439999999995</v>
      </c>
      <c r="E49" s="14">
        <f t="shared" si="1"/>
        <v>-0.68927651309671567</v>
      </c>
    </row>
    <row r="50" spans="1:5" x14ac:dyDescent="0.3">
      <c r="A50" s="4" t="s">
        <v>55</v>
      </c>
      <c r="B50" s="4" t="s">
        <v>56</v>
      </c>
      <c r="C50" s="7">
        <v>59.025597999999988</v>
      </c>
      <c r="D50" s="7">
        <v>16.962393500000001</v>
      </c>
      <c r="E50" s="14">
        <f t="shared" si="1"/>
        <v>-0.7126264862238243</v>
      </c>
    </row>
    <row r="51" spans="1:5" x14ac:dyDescent="0.3">
      <c r="A51" s="4" t="s">
        <v>57</v>
      </c>
      <c r="B51" s="4" t="s">
        <v>58</v>
      </c>
      <c r="C51" s="7">
        <v>19.328009600000001</v>
      </c>
      <c r="D51" s="7">
        <v>7.7456209999999999</v>
      </c>
      <c r="E51" s="14">
        <f t="shared" si="1"/>
        <v>-0.59925407942678177</v>
      </c>
    </row>
    <row r="52" spans="1:5" x14ac:dyDescent="0.3">
      <c r="A52" s="4" t="s">
        <v>59</v>
      </c>
      <c r="B52" s="4" t="s">
        <v>60</v>
      </c>
      <c r="C52" s="7">
        <v>25.403705299999999</v>
      </c>
      <c r="D52" s="7">
        <v>7.8439955000000001</v>
      </c>
      <c r="E52" s="14">
        <f t="shared" si="1"/>
        <v>-0.69122632279945406</v>
      </c>
    </row>
    <row r="53" spans="1:5" x14ac:dyDescent="0.3">
      <c r="A53" s="4" t="s">
        <v>61</v>
      </c>
      <c r="B53" s="4" t="s">
        <v>62</v>
      </c>
      <c r="C53" s="7">
        <v>71.726134700000003</v>
      </c>
      <c r="D53" s="7">
        <v>20.132728</v>
      </c>
      <c r="E53" s="14">
        <f t="shared" si="1"/>
        <v>-0.71931112579526746</v>
      </c>
    </row>
    <row r="54" spans="1:5" x14ac:dyDescent="0.3">
      <c r="A54" s="4" t="s">
        <v>63</v>
      </c>
      <c r="B54" s="4" t="s">
        <v>64</v>
      </c>
      <c r="C54" s="7">
        <v>73.648245700000004</v>
      </c>
      <c r="D54" s="7">
        <v>21.941360249999999</v>
      </c>
      <c r="E54" s="14">
        <f t="shared" si="1"/>
        <v>-0.70207898312505224</v>
      </c>
    </row>
    <row r="55" spans="1:5" x14ac:dyDescent="0.3">
      <c r="A55" s="4" t="s">
        <v>65</v>
      </c>
      <c r="B55" s="4" t="s">
        <v>66</v>
      </c>
      <c r="C55" s="7">
        <v>30.247280700000001</v>
      </c>
      <c r="D55" s="7">
        <v>8.6895699999999998</v>
      </c>
      <c r="E55" s="14">
        <f t="shared" si="1"/>
        <v>-0.7127156624033314</v>
      </c>
    </row>
    <row r="56" spans="1:5" x14ac:dyDescent="0.3">
      <c r="A56" s="4" t="s">
        <v>67</v>
      </c>
      <c r="B56" s="4" t="s">
        <v>68</v>
      </c>
      <c r="C56" s="7">
        <v>36.153992799999997</v>
      </c>
      <c r="D56" s="7">
        <v>13.11551425</v>
      </c>
      <c r="E56" s="14">
        <f t="shared" si="1"/>
        <v>-0.63723192836393994</v>
      </c>
    </row>
    <row r="57" spans="1:5" x14ac:dyDescent="0.3">
      <c r="A57" s="4" t="s">
        <v>69</v>
      </c>
      <c r="B57" s="4" t="s">
        <v>40</v>
      </c>
      <c r="C57" s="7">
        <v>540.79007459999991</v>
      </c>
      <c r="D57" s="7">
        <v>12.314757800000001</v>
      </c>
      <c r="E57" s="14">
        <f t="shared" si="1"/>
        <v>-0.97722821039363794</v>
      </c>
    </row>
    <row r="58" spans="1:5" x14ac:dyDescent="0.3">
      <c r="A58" s="4" t="s">
        <v>70</v>
      </c>
      <c r="B58" s="4" t="s">
        <v>42</v>
      </c>
      <c r="C58" s="7">
        <v>542.6660098000001</v>
      </c>
      <c r="D58" s="7">
        <v>12.9729397</v>
      </c>
      <c r="E58" s="14">
        <f t="shared" si="1"/>
        <v>-0.97609406252515951</v>
      </c>
    </row>
    <row r="59" spans="1:5" x14ac:dyDescent="0.3">
      <c r="A59" s="4" t="s">
        <v>71</v>
      </c>
      <c r="B59" s="4" t="s">
        <v>44</v>
      </c>
      <c r="C59" s="7">
        <v>540.54399380000007</v>
      </c>
      <c r="D59" s="7">
        <v>12.1655727</v>
      </c>
      <c r="E59" s="14">
        <f t="shared" si="1"/>
        <v>-0.97749383428631487</v>
      </c>
    </row>
    <row r="60" spans="1:5" x14ac:dyDescent="0.3">
      <c r="A60" s="4" t="s">
        <v>72</v>
      </c>
      <c r="B60" s="4" t="s">
        <v>46</v>
      </c>
      <c r="C60" s="7">
        <v>541.6579766000001</v>
      </c>
      <c r="D60" s="7">
        <v>13.046887</v>
      </c>
      <c r="E60" s="14">
        <f t="shared" si="1"/>
        <v>-0.97591305295290653</v>
      </c>
    </row>
    <row r="61" spans="1:5" x14ac:dyDescent="0.3">
      <c r="A61" s="4" t="s">
        <v>73</v>
      </c>
      <c r="B61" s="4" t="s">
        <v>48</v>
      </c>
      <c r="C61" s="7">
        <v>1058.820508</v>
      </c>
      <c r="D61" s="7">
        <v>18.023133999999999</v>
      </c>
      <c r="E61" s="14">
        <f t="shared" si="1"/>
        <v>-0.98297810264929242</v>
      </c>
    </row>
    <row r="62" spans="1:5" x14ac:dyDescent="0.3">
      <c r="A62" s="4" t="s">
        <v>74</v>
      </c>
      <c r="B62" s="4" t="s">
        <v>50</v>
      </c>
      <c r="C62" s="7">
        <v>790.98533950000001</v>
      </c>
      <c r="D62" s="7">
        <v>15.008075</v>
      </c>
      <c r="E62" s="14">
        <f t="shared" si="1"/>
        <v>-0.98102610219111408</v>
      </c>
    </row>
    <row r="63" spans="1:5" x14ac:dyDescent="0.3">
      <c r="A63" s="4" t="s">
        <v>75</v>
      </c>
      <c r="B63" s="4" t="s">
        <v>52</v>
      </c>
      <c r="C63" s="7">
        <v>785.21300269999995</v>
      </c>
      <c r="D63" s="7">
        <v>19.59705700000001</v>
      </c>
      <c r="E63" s="14">
        <f t="shared" si="1"/>
        <v>-0.97504236820758894</v>
      </c>
    </row>
    <row r="64" spans="1:5" x14ac:dyDescent="0.3">
      <c r="A64" s="4" t="s">
        <v>76</v>
      </c>
      <c r="B64" s="4" t="s">
        <v>54</v>
      </c>
      <c r="C64" s="7">
        <v>793.05160645000001</v>
      </c>
      <c r="D64" s="7">
        <v>18.465283199999998</v>
      </c>
      <c r="E64" s="14">
        <f t="shared" si="1"/>
        <v>-0.97671616443391662</v>
      </c>
    </row>
    <row r="65" spans="1:5" x14ac:dyDescent="0.3">
      <c r="A65" s="4" t="s">
        <v>77</v>
      </c>
      <c r="B65" s="4" t="s">
        <v>56</v>
      </c>
      <c r="C65" s="7">
        <v>810.66438840000012</v>
      </c>
      <c r="D65" s="7">
        <v>24.6604934</v>
      </c>
      <c r="E65" s="14">
        <f t="shared" si="1"/>
        <v>-0.96957989797890087</v>
      </c>
    </row>
    <row r="66" spans="1:5" x14ac:dyDescent="0.3">
      <c r="A66" s="4" t="s">
        <v>78</v>
      </c>
      <c r="B66" s="4" t="s">
        <v>58</v>
      </c>
      <c r="C66" s="7">
        <v>536.09758969999984</v>
      </c>
      <c r="D66" s="7">
        <v>9.2843818000000002</v>
      </c>
      <c r="E66" s="14">
        <f t="shared" si="1"/>
        <v>-0.9826815453410348</v>
      </c>
    </row>
    <row r="67" spans="1:5" x14ac:dyDescent="0.3">
      <c r="A67" s="4" t="s">
        <v>79</v>
      </c>
      <c r="B67" s="4" t="s">
        <v>60</v>
      </c>
      <c r="C67" s="7">
        <v>789.67140459999996</v>
      </c>
      <c r="D67" s="7">
        <v>16.9380588</v>
      </c>
      <c r="E67" s="14">
        <f t="shared" si="1"/>
        <v>-0.97855049745839562</v>
      </c>
    </row>
    <row r="68" spans="1:5" x14ac:dyDescent="0.3">
      <c r="A68" s="4" t="s">
        <v>80</v>
      </c>
      <c r="B68" s="4" t="s">
        <v>62</v>
      </c>
      <c r="C68" s="7">
        <v>1863.8924394000001</v>
      </c>
      <c r="D68" s="7">
        <v>37.874856999999999</v>
      </c>
      <c r="E68" s="14">
        <f t="shared" si="1"/>
        <v>-0.97967969814170597</v>
      </c>
    </row>
    <row r="69" spans="1:5" x14ac:dyDescent="0.3">
      <c r="A69" s="4" t="s">
        <v>81</v>
      </c>
      <c r="B69" s="4" t="s">
        <v>64</v>
      </c>
      <c r="C69" s="7">
        <v>1625.3608417999999</v>
      </c>
      <c r="D69" s="7">
        <v>37.599523000000012</v>
      </c>
      <c r="E69" s="14">
        <f t="shared" si="1"/>
        <v>-0.97686696883975588</v>
      </c>
    </row>
    <row r="70" spans="1:5" x14ac:dyDescent="0.3">
      <c r="A70" s="4" t="s">
        <v>82</v>
      </c>
      <c r="B70" s="4" t="s">
        <v>66</v>
      </c>
      <c r="C70" s="7">
        <v>1059.4875393499999</v>
      </c>
      <c r="D70" s="7">
        <v>16.8226874</v>
      </c>
      <c r="E70" s="14">
        <f t="shared" si="1"/>
        <v>-0.9841218638490824</v>
      </c>
    </row>
    <row r="71" spans="1:5" x14ac:dyDescent="0.3">
      <c r="A71" s="4" t="s">
        <v>83</v>
      </c>
      <c r="B71" s="4" t="s">
        <v>68</v>
      </c>
      <c r="C71" s="7">
        <v>1060.94135495</v>
      </c>
      <c r="D71" s="7">
        <v>22.7052212</v>
      </c>
      <c r="E71" s="14">
        <f t="shared" si="1"/>
        <v>-0.97859898561398795</v>
      </c>
    </row>
    <row r="73" spans="1:5" x14ac:dyDescent="0.3">
      <c r="A73" s="12" t="s">
        <v>84</v>
      </c>
    </row>
    <row r="74" spans="1:5" ht="31.95" customHeight="1" x14ac:dyDescent="0.3">
      <c r="A74" s="3" t="s">
        <v>85</v>
      </c>
      <c r="B74" s="3" t="s">
        <v>86</v>
      </c>
      <c r="C74" s="3" t="s">
        <v>87</v>
      </c>
      <c r="D74" s="3" t="s">
        <v>88</v>
      </c>
    </row>
    <row r="75" spans="1:5" x14ac:dyDescent="0.3">
      <c r="A75" s="4" t="s">
        <v>89</v>
      </c>
      <c r="B75" s="16">
        <v>1</v>
      </c>
      <c r="C75" s="16">
        <v>1</v>
      </c>
      <c r="D75" s="17">
        <v>8.5491670000000006</v>
      </c>
    </row>
    <row r="76" spans="1:5" x14ac:dyDescent="0.3">
      <c r="A76" s="4" t="s">
        <v>89</v>
      </c>
      <c r="B76" s="16">
        <v>1</v>
      </c>
      <c r="C76" s="16">
        <v>2</v>
      </c>
      <c r="D76" s="17">
        <v>1.769163</v>
      </c>
    </row>
    <row r="77" spans="1:5" x14ac:dyDescent="0.3">
      <c r="A77" s="4" t="s">
        <v>89</v>
      </c>
      <c r="B77" s="16">
        <v>1</v>
      </c>
      <c r="C77" s="16">
        <v>3</v>
      </c>
      <c r="D77" s="17">
        <v>1.948091</v>
      </c>
    </row>
    <row r="78" spans="1:5" x14ac:dyDescent="0.3">
      <c r="A78" s="4" t="s">
        <v>90</v>
      </c>
      <c r="B78" s="16">
        <v>2</v>
      </c>
      <c r="C78" s="16">
        <v>1</v>
      </c>
      <c r="D78" s="17">
        <v>1.8357129999999999</v>
      </c>
    </row>
    <row r="79" spans="1:5" x14ac:dyDescent="0.3">
      <c r="A79" s="4" t="s">
        <v>90</v>
      </c>
      <c r="B79" s="16">
        <v>2</v>
      </c>
      <c r="C79" s="16">
        <v>2</v>
      </c>
      <c r="D79" s="17">
        <v>1.924612</v>
      </c>
    </row>
    <row r="80" spans="1:5" x14ac:dyDescent="0.3">
      <c r="A80" s="4" t="s">
        <v>90</v>
      </c>
      <c r="B80" s="16">
        <v>2</v>
      </c>
      <c r="C80" s="16">
        <v>3</v>
      </c>
      <c r="D80" s="17">
        <v>1.78548</v>
      </c>
    </row>
    <row r="81" spans="1:4" x14ac:dyDescent="0.3">
      <c r="A81" s="4" t="s">
        <v>89</v>
      </c>
      <c r="B81" s="16">
        <v>3</v>
      </c>
      <c r="C81" s="16">
        <v>1</v>
      </c>
      <c r="D81" s="17">
        <v>2.3497439999999998</v>
      </c>
    </row>
    <row r="82" spans="1:4" x14ac:dyDescent="0.3">
      <c r="A82" s="4" t="s">
        <v>89</v>
      </c>
      <c r="B82" s="16">
        <v>3</v>
      </c>
      <c r="C82" s="16">
        <v>2</v>
      </c>
      <c r="D82" s="17">
        <v>1.833582</v>
      </c>
    </row>
    <row r="83" spans="1:4" x14ac:dyDescent="0.3">
      <c r="A83" s="4" t="s">
        <v>89</v>
      </c>
      <c r="B83" s="16">
        <v>3</v>
      </c>
      <c r="C83" s="16">
        <v>3</v>
      </c>
      <c r="D83" s="17">
        <v>1.852975</v>
      </c>
    </row>
    <row r="84" spans="1:4" x14ac:dyDescent="0.3">
      <c r="A84" s="4" t="s">
        <v>90</v>
      </c>
      <c r="B84" s="16">
        <v>4</v>
      </c>
      <c r="C84" s="16">
        <v>1</v>
      </c>
      <c r="D84" s="17">
        <v>1.8556109999999999</v>
      </c>
    </row>
    <row r="85" spans="1:4" x14ac:dyDescent="0.3">
      <c r="A85" s="4" t="s">
        <v>90</v>
      </c>
      <c r="B85" s="16">
        <v>4</v>
      </c>
      <c r="C85" s="16">
        <v>2</v>
      </c>
      <c r="D85" s="17">
        <v>1.6491990000000001</v>
      </c>
    </row>
    <row r="86" spans="1:4" x14ac:dyDescent="0.3">
      <c r="A86" s="4" t="s">
        <v>90</v>
      </c>
      <c r="B86" s="16">
        <v>4</v>
      </c>
      <c r="C86" s="16">
        <v>3</v>
      </c>
      <c r="D86" s="17">
        <v>1.8610249999999999</v>
      </c>
    </row>
    <row r="87" spans="1:4" x14ac:dyDescent="0.3">
      <c r="A87" s="9" t="s">
        <v>91</v>
      </c>
      <c r="D87" s="18">
        <f>AVERAGEIFS(D75:D86,A75:A86,"ปิด",C75:C86,1)</f>
        <v>5.4494555</v>
      </c>
    </row>
    <row r="88" spans="1:4" x14ac:dyDescent="0.3">
      <c r="A88" s="9" t="s">
        <v>92</v>
      </c>
      <c r="D88" s="18">
        <f>AVERAGEIFS(D75:D86,A75:A86,"เปิด",C75:C86,1)</f>
        <v>1.8456619999999999</v>
      </c>
    </row>
    <row r="89" spans="1:4" x14ac:dyDescent="0.3">
      <c r="A89" s="19" t="s">
        <v>93</v>
      </c>
    </row>
  </sheetData>
  <conditionalFormatting sqref="E5">
    <cfRule type="expression" dxfId="26" priority="1">
      <formula>AND(ISNUMBER(E5),E5&gt;0)</formula>
    </cfRule>
    <cfRule type="expression" dxfId="25" priority="2">
      <formula>AND(ISNUMBER(E5),E5&lt;0)</formula>
    </cfRule>
  </conditionalFormatting>
  <conditionalFormatting sqref="E6:E11">
    <cfRule type="expression" dxfId="24" priority="3">
      <formula>AND(ISNUMBER(E6),E6&lt;0)</formula>
    </cfRule>
    <cfRule type="expression" dxfId="23" priority="4">
      <formula>AND(ISNUMBER(E6),E6&gt;0)</formula>
    </cfRule>
  </conditionalFormatting>
  <conditionalFormatting sqref="E12">
    <cfRule type="expression" dxfId="22" priority="15">
      <formula>AND(ISNUMBER(E12),E12&gt;0)</formula>
    </cfRule>
    <cfRule type="expression" dxfId="21" priority="16">
      <formula>AND(ISNUMBER(E12),E12&lt;0)</formula>
    </cfRule>
  </conditionalFormatting>
  <conditionalFormatting sqref="E13:E18">
    <cfRule type="expression" dxfId="20" priority="17">
      <formula>AND(ISNUMBER(E13),E13&lt;0)</formula>
    </cfRule>
    <cfRule type="expression" dxfId="19" priority="18">
      <formula>AND(ISNUMBER(E13),E13&gt;0)</formula>
    </cfRule>
  </conditionalFormatting>
  <conditionalFormatting sqref="E19">
    <cfRule type="expression" dxfId="18" priority="29">
      <formula>AND(ISNUMBER(E19),E19&gt;0)</formula>
    </cfRule>
    <cfRule type="expression" dxfId="17" priority="30">
      <formula>AND(ISNUMBER(E19),E19&lt;0)</formula>
    </cfRule>
  </conditionalFormatting>
  <conditionalFormatting sqref="E20:E25">
    <cfRule type="expression" dxfId="16" priority="32">
      <formula>AND(ISNUMBER(E20),E20&gt;0)</formula>
    </cfRule>
    <cfRule type="expression" dxfId="15" priority="31">
      <formula>AND(ISNUMBER(E20),E20&lt;0)</formula>
    </cfRule>
  </conditionalFormatting>
  <conditionalFormatting sqref="E26">
    <cfRule type="expression" dxfId="14" priority="44">
      <formula>AND(ISNUMBER(E26),E26&lt;0)</formula>
    </cfRule>
    <cfRule type="expression" dxfId="13" priority="43">
      <formula>AND(ISNUMBER(E26),E26&gt;0)</formula>
    </cfRule>
  </conditionalFormatting>
  <conditionalFormatting sqref="E27:E32">
    <cfRule type="expression" dxfId="12" priority="45">
      <formula>AND(ISNUMBER(E27),E27&lt;0)</formula>
    </cfRule>
    <cfRule type="expression" dxfId="11" priority="46">
      <formula>AND(ISNUMBER(E27),E27&gt;0)</formula>
    </cfRule>
  </conditionalFormatting>
  <conditionalFormatting sqref="E33">
    <cfRule type="expression" dxfId="10" priority="57">
      <formula>AND(ISNUMBER(E33),E33&gt;0)</formula>
    </cfRule>
    <cfRule type="expression" dxfId="9" priority="58">
      <formula>AND(ISNUMBER(E33),E33&lt;0)</formula>
    </cfRule>
  </conditionalFormatting>
  <conditionalFormatting sqref="E34:E38">
    <cfRule type="expression" dxfId="8" priority="59">
      <formula>AND(ISNUMBER(E34),E34&lt;0)</formula>
    </cfRule>
    <cfRule type="expression" dxfId="7" priority="60">
      <formula>AND(ISNUMBER(E34),E34&gt;0)</formula>
    </cfRule>
  </conditionalFormatting>
  <conditionalFormatting sqref="E42:E71">
    <cfRule type="expression" dxfId="6" priority="70">
      <formula>AND(ISNUMBER(E42),E42&gt;0)</formula>
    </cfRule>
    <cfRule type="expression" dxfId="5" priority="69">
      <formula>AND(ISNUMBER(E42),E42&lt;0)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4151"/>
  </sheetPr>
  <dimension ref="A1:B44"/>
  <sheetViews>
    <sheetView showGridLines="0" workbookViewId="0"/>
  </sheetViews>
  <sheetFormatPr defaultRowHeight="14.4" x14ac:dyDescent="0.3"/>
  <cols>
    <col min="1" max="1" width="30" customWidth="1"/>
    <col min="2" max="2" width="100" customWidth="1"/>
  </cols>
  <sheetData>
    <row r="1" spans="1:2" ht="17.399999999999999" x14ac:dyDescent="0.3">
      <c r="A1" s="1" t="s">
        <v>94</v>
      </c>
    </row>
    <row r="2" spans="1:2" x14ac:dyDescent="0.3">
      <c r="A2" s="2" t="s">
        <v>95</v>
      </c>
    </row>
    <row r="4" spans="1:2" x14ac:dyDescent="0.3">
      <c r="A4" s="12" t="s">
        <v>96</v>
      </c>
    </row>
    <row r="5" spans="1:2" ht="31.95" customHeight="1" x14ac:dyDescent="0.3">
      <c r="A5" s="3" t="s">
        <v>97</v>
      </c>
      <c r="B5" s="3" t="s">
        <v>98</v>
      </c>
    </row>
    <row r="6" spans="1:2" x14ac:dyDescent="0.3">
      <c r="A6" s="9" t="s">
        <v>99</v>
      </c>
      <c r="B6" s="4" t="s">
        <v>100</v>
      </c>
    </row>
    <row r="7" spans="1:2" ht="26.4" x14ac:dyDescent="0.3">
      <c r="A7" s="9" t="s">
        <v>101</v>
      </c>
      <c r="B7" s="4" t="s">
        <v>102</v>
      </c>
    </row>
    <row r="8" spans="1:2" ht="26.4" x14ac:dyDescent="0.3">
      <c r="A8" s="9" t="s">
        <v>103</v>
      </c>
      <c r="B8" s="4" t="s">
        <v>104</v>
      </c>
    </row>
    <row r="9" spans="1:2" x14ac:dyDescent="0.3">
      <c r="A9" s="9" t="s">
        <v>105</v>
      </c>
      <c r="B9" s="4" t="s">
        <v>106</v>
      </c>
    </row>
    <row r="10" spans="1:2" x14ac:dyDescent="0.3">
      <c r="A10" s="9" t="s">
        <v>107</v>
      </c>
      <c r="B10" s="4" t="s">
        <v>108</v>
      </c>
    </row>
    <row r="11" spans="1:2" x14ac:dyDescent="0.3">
      <c r="A11" s="9" t="s">
        <v>109</v>
      </c>
      <c r="B11" s="4" t="s">
        <v>110</v>
      </c>
    </row>
    <row r="12" spans="1:2" x14ac:dyDescent="0.3">
      <c r="A12" s="9" t="s">
        <v>111</v>
      </c>
      <c r="B12" s="4" t="s">
        <v>112</v>
      </c>
    </row>
    <row r="13" spans="1:2" x14ac:dyDescent="0.3">
      <c r="A13" s="9" t="s">
        <v>113</v>
      </c>
      <c r="B13" s="4" t="s">
        <v>114</v>
      </c>
    </row>
    <row r="14" spans="1:2" x14ac:dyDescent="0.3">
      <c r="A14" s="9" t="s">
        <v>115</v>
      </c>
      <c r="B14" s="4" t="s">
        <v>116</v>
      </c>
    </row>
    <row r="16" spans="1:2" x14ac:dyDescent="0.3">
      <c r="A16" s="12" t="s">
        <v>117</v>
      </c>
    </row>
    <row r="17" spans="1:2" ht="31.95" customHeight="1" x14ac:dyDescent="0.3">
      <c r="A17" s="3" t="s">
        <v>118</v>
      </c>
      <c r="B17" s="3" t="s">
        <v>119</v>
      </c>
    </row>
    <row r="18" spans="1:2" ht="26.4" x14ac:dyDescent="0.3">
      <c r="A18" s="4" t="s">
        <v>120</v>
      </c>
      <c r="B18" s="20">
        <v>800</v>
      </c>
    </row>
    <row r="19" spans="1:2" ht="26.4" x14ac:dyDescent="0.3">
      <c r="A19" s="4" t="s">
        <v>121</v>
      </c>
      <c r="B19" s="20">
        <v>15000</v>
      </c>
    </row>
    <row r="20" spans="1:2" x14ac:dyDescent="0.3">
      <c r="A20" s="4" t="s">
        <v>122</v>
      </c>
      <c r="B20" s="21">
        <v>0.01</v>
      </c>
    </row>
    <row r="21" spans="1:2" x14ac:dyDescent="0.3">
      <c r="A21" s="19" t="s">
        <v>123</v>
      </c>
    </row>
    <row r="23" spans="1:2" x14ac:dyDescent="0.3">
      <c r="A23" s="12" t="s">
        <v>124</v>
      </c>
    </row>
    <row r="24" spans="1:2" ht="31.95" customHeight="1" x14ac:dyDescent="0.3">
      <c r="A24" s="3" t="s">
        <v>2</v>
      </c>
      <c r="B24" s="3" t="s">
        <v>125</v>
      </c>
    </row>
    <row r="25" spans="1:2" ht="26.4" x14ac:dyDescent="0.3">
      <c r="A25" s="9" t="s">
        <v>13</v>
      </c>
      <c r="B25" s="4" t="s">
        <v>126</v>
      </c>
    </row>
    <row r="26" spans="1:2" x14ac:dyDescent="0.3">
      <c r="A26" s="9" t="s">
        <v>14</v>
      </c>
      <c r="B26" s="4" t="s">
        <v>127</v>
      </c>
    </row>
    <row r="27" spans="1:2" ht="26.4" x14ac:dyDescent="0.3">
      <c r="A27" s="9" t="s">
        <v>15</v>
      </c>
      <c r="B27" s="4" t="s">
        <v>128</v>
      </c>
    </row>
    <row r="28" spans="1:2" ht="26.4" x14ac:dyDescent="0.3">
      <c r="A28" s="9" t="s">
        <v>16</v>
      </c>
      <c r="B28" s="4" t="s">
        <v>129</v>
      </c>
    </row>
    <row r="29" spans="1:2" ht="26.4" x14ac:dyDescent="0.3">
      <c r="A29" s="9" t="s">
        <v>17</v>
      </c>
      <c r="B29" s="4" t="s">
        <v>130</v>
      </c>
    </row>
    <row r="31" spans="1:2" x14ac:dyDescent="0.3">
      <c r="A31" s="12" t="s">
        <v>131</v>
      </c>
    </row>
    <row r="32" spans="1:2" ht="31.95" customHeight="1" x14ac:dyDescent="0.3">
      <c r="A32" s="3" t="s">
        <v>132</v>
      </c>
      <c r="B32" s="3" t="s">
        <v>133</v>
      </c>
    </row>
    <row r="33" spans="1:2" x14ac:dyDescent="0.3">
      <c r="A33" s="9" t="s">
        <v>134</v>
      </c>
      <c r="B33" s="4" t="s">
        <v>135</v>
      </c>
    </row>
    <row r="34" spans="1:2" ht="26.4" x14ac:dyDescent="0.3">
      <c r="A34" s="9" t="s">
        <v>136</v>
      </c>
      <c r="B34" s="4" t="s">
        <v>137</v>
      </c>
    </row>
    <row r="35" spans="1:2" x14ac:dyDescent="0.3">
      <c r="A35" s="9" t="s">
        <v>138</v>
      </c>
      <c r="B35" s="4" t="s">
        <v>139</v>
      </c>
    </row>
    <row r="37" spans="1:2" x14ac:dyDescent="0.3">
      <c r="A37" s="12" t="s">
        <v>140</v>
      </c>
    </row>
    <row r="38" spans="1:2" ht="30" customHeight="1" x14ac:dyDescent="0.3">
      <c r="A38" s="24" t="s">
        <v>141</v>
      </c>
      <c r="B38" s="25"/>
    </row>
    <row r="39" spans="1:2" ht="30" customHeight="1" x14ac:dyDescent="0.3">
      <c r="A39" s="24" t="s">
        <v>142</v>
      </c>
      <c r="B39" s="25"/>
    </row>
    <row r="40" spans="1:2" ht="30" customHeight="1" x14ac:dyDescent="0.3">
      <c r="A40" s="24" t="s">
        <v>143</v>
      </c>
      <c r="B40" s="25"/>
    </row>
    <row r="41" spans="1:2" ht="30" customHeight="1" x14ac:dyDescent="0.3">
      <c r="A41" s="24" t="s">
        <v>144</v>
      </c>
      <c r="B41" s="25"/>
    </row>
    <row r="42" spans="1:2" ht="30" customHeight="1" x14ac:dyDescent="0.3">
      <c r="A42" s="24" t="s">
        <v>145</v>
      </c>
      <c r="B42" s="25"/>
    </row>
    <row r="43" spans="1:2" ht="30" customHeight="1" x14ac:dyDescent="0.3">
      <c r="A43" s="24" t="s">
        <v>146</v>
      </c>
      <c r="B43" s="25"/>
    </row>
    <row r="44" spans="1:2" ht="30" customHeight="1" x14ac:dyDescent="0.3">
      <c r="A44" s="24" t="s">
        <v>147</v>
      </c>
      <c r="B44" s="25"/>
    </row>
  </sheetData>
  <mergeCells count="7">
    <mergeCell ref="A38:B38"/>
    <mergeCell ref="A43:B43"/>
    <mergeCell ref="A41:B41"/>
    <mergeCell ref="A42:B42"/>
    <mergeCell ref="A44:B44"/>
    <mergeCell ref="A40:B40"/>
    <mergeCell ref="A39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65F46"/>
  </sheetPr>
  <dimension ref="A1:M6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30" customWidth="1"/>
    <col min="3" max="3" width="32" customWidth="1"/>
    <col min="4" max="4" width="11" customWidth="1"/>
    <col min="5" max="6" width="10" customWidth="1"/>
    <col min="7" max="11" width="9" customWidth="1"/>
    <col min="12" max="13" width="10" customWidth="1"/>
  </cols>
  <sheetData>
    <row r="1" spans="1:13" ht="17.399999999999999" x14ac:dyDescent="0.3">
      <c r="A1" s="1" t="s">
        <v>148</v>
      </c>
    </row>
    <row r="2" spans="1:13" x14ac:dyDescent="0.3">
      <c r="A2" s="2" t="s">
        <v>149</v>
      </c>
    </row>
    <row r="4" spans="1:13" ht="31.95" customHeight="1" x14ac:dyDescent="0.3">
      <c r="A4" s="3" t="s">
        <v>2</v>
      </c>
      <c r="B4" s="3" t="s">
        <v>150</v>
      </c>
      <c r="C4" s="3" t="s">
        <v>38</v>
      </c>
      <c r="D4" s="3" t="s">
        <v>5</v>
      </c>
      <c r="E4" s="3" t="s">
        <v>6</v>
      </c>
      <c r="F4" s="3" t="s">
        <v>7</v>
      </c>
      <c r="G4" s="3" t="s">
        <v>151</v>
      </c>
      <c r="H4" s="3" t="s">
        <v>152</v>
      </c>
      <c r="I4" s="3" t="s">
        <v>153</v>
      </c>
      <c r="J4" s="3" t="s">
        <v>154</v>
      </c>
      <c r="K4" s="3" t="s">
        <v>155</v>
      </c>
      <c r="L4" s="3" t="s">
        <v>156</v>
      </c>
      <c r="M4" s="3" t="s">
        <v>12</v>
      </c>
    </row>
    <row r="5" spans="1:13" x14ac:dyDescent="0.3">
      <c r="A5" s="4" t="s">
        <v>157</v>
      </c>
      <c r="B5" s="4" t="s">
        <v>158</v>
      </c>
      <c r="C5" s="4" t="s">
        <v>40</v>
      </c>
      <c r="D5" s="5">
        <v>15</v>
      </c>
      <c r="E5" s="5">
        <v>0</v>
      </c>
      <c r="F5" s="6">
        <f t="shared" ref="F5:F36" si="0">IF(D5=0,0,E5/D5)</f>
        <v>0</v>
      </c>
      <c r="G5" s="7">
        <v>4.0700361333333337</v>
      </c>
      <c r="H5" s="7">
        <v>3.2768799999999998</v>
      </c>
      <c r="I5" s="7">
        <v>5.4854379999999994</v>
      </c>
      <c r="J5" s="7">
        <v>7.5005488000000042</v>
      </c>
      <c r="K5" s="7">
        <v>11.09980096</v>
      </c>
      <c r="L5" s="7">
        <v>11.999613999999999</v>
      </c>
      <c r="M5" s="8" t="str">
        <f>IF(AND(J5&lt;=วิธีทดสอบและเกณฑ์!$B$18,F5&lt;=วิธีทดสอบและเกณฑ์!$B$20),"ผ่าน","ไม่ผ่าน")</f>
        <v>ผ่าน</v>
      </c>
    </row>
    <row r="6" spans="1:13" x14ac:dyDescent="0.3">
      <c r="A6" s="4" t="s">
        <v>157</v>
      </c>
      <c r="B6" s="4" t="s">
        <v>159</v>
      </c>
      <c r="C6" s="4" t="s">
        <v>42</v>
      </c>
      <c r="D6" s="5">
        <v>15</v>
      </c>
      <c r="E6" s="5">
        <v>0</v>
      </c>
      <c r="F6" s="6">
        <f t="shared" si="0"/>
        <v>0</v>
      </c>
      <c r="G6" s="7">
        <v>4.2560453333333337</v>
      </c>
      <c r="H6" s="7">
        <v>3.7165910000000002</v>
      </c>
      <c r="I6" s="7">
        <v>5.6244440000000004</v>
      </c>
      <c r="J6" s="7">
        <v>6.5983358000000019</v>
      </c>
      <c r="K6" s="7">
        <v>7.9023663599999976</v>
      </c>
      <c r="L6" s="7">
        <v>8.2283740000000005</v>
      </c>
      <c r="M6" s="8" t="str">
        <f>IF(AND(J6&lt;=วิธีทดสอบและเกณฑ์!$B$18,F6&lt;=วิธีทดสอบและเกณฑ์!$B$20),"ผ่าน","ไม่ผ่าน")</f>
        <v>ผ่าน</v>
      </c>
    </row>
    <row r="7" spans="1:13" x14ac:dyDescent="0.3">
      <c r="A7" s="4" t="s">
        <v>157</v>
      </c>
      <c r="B7" s="4" t="s">
        <v>160</v>
      </c>
      <c r="C7" s="4" t="s">
        <v>44</v>
      </c>
      <c r="D7" s="5">
        <v>15</v>
      </c>
      <c r="E7" s="5">
        <v>0</v>
      </c>
      <c r="F7" s="6">
        <f t="shared" si="0"/>
        <v>0</v>
      </c>
      <c r="G7" s="7">
        <v>3.824863866666667</v>
      </c>
      <c r="H7" s="7">
        <v>3.3711120000000001</v>
      </c>
      <c r="I7" s="7">
        <v>5.4245647999999997</v>
      </c>
      <c r="J7" s="7">
        <v>6.390425500000001</v>
      </c>
      <c r="K7" s="7">
        <v>7.5565946999999989</v>
      </c>
      <c r="L7" s="7">
        <v>7.8481370000000004</v>
      </c>
      <c r="M7" s="8" t="str">
        <f>IF(AND(J7&lt;=วิธีทดสอบและเกณฑ์!$B$18,F7&lt;=วิธีทดสอบและเกณฑ์!$B$20),"ผ่าน","ไม่ผ่าน")</f>
        <v>ผ่าน</v>
      </c>
    </row>
    <row r="8" spans="1:13" x14ac:dyDescent="0.3">
      <c r="A8" s="4" t="s">
        <v>157</v>
      </c>
      <c r="B8" s="4" t="s">
        <v>161</v>
      </c>
      <c r="C8" s="4" t="s">
        <v>46</v>
      </c>
      <c r="D8" s="5">
        <v>15</v>
      </c>
      <c r="E8" s="5">
        <v>0</v>
      </c>
      <c r="F8" s="6">
        <f t="shared" si="0"/>
        <v>0</v>
      </c>
      <c r="G8" s="7">
        <v>6.478167</v>
      </c>
      <c r="H8" s="7">
        <v>5.5155070000000004</v>
      </c>
      <c r="I8" s="7">
        <v>7.8170157999999992</v>
      </c>
      <c r="J8" s="7">
        <v>11.384613200000009</v>
      </c>
      <c r="K8" s="7">
        <v>17.523475439999999</v>
      </c>
      <c r="L8" s="7">
        <v>19.058191000000001</v>
      </c>
      <c r="M8" s="8" t="str">
        <f>IF(AND(J8&lt;=วิธีทดสอบและเกณฑ์!$B$18,F8&lt;=วิธีทดสอบและเกณฑ์!$B$20),"ผ่าน","ไม่ผ่าน")</f>
        <v>ผ่าน</v>
      </c>
    </row>
    <row r="9" spans="1:13" x14ac:dyDescent="0.3">
      <c r="A9" s="4" t="s">
        <v>157</v>
      </c>
      <c r="B9" s="4" t="s">
        <v>162</v>
      </c>
      <c r="C9" s="4" t="s">
        <v>48</v>
      </c>
      <c r="D9" s="5">
        <v>8</v>
      </c>
      <c r="E9" s="5">
        <v>0</v>
      </c>
      <c r="F9" s="6">
        <f t="shared" si="0"/>
        <v>0</v>
      </c>
      <c r="G9" s="7">
        <v>9.0210897499999998</v>
      </c>
      <c r="H9" s="7">
        <v>8.4806720000000002</v>
      </c>
      <c r="I9" s="7">
        <v>11.2701805</v>
      </c>
      <c r="J9" s="7">
        <v>12.22842625</v>
      </c>
      <c r="K9" s="7">
        <v>12.99502285</v>
      </c>
      <c r="L9" s="7">
        <v>13.186672</v>
      </c>
      <c r="M9" s="8" t="str">
        <f>IF(AND(J9&lt;=วิธีทดสอบและเกณฑ์!$B$18,F9&lt;=วิธีทดสอบและเกณฑ์!$B$20),"ผ่าน","ไม่ผ่าน")</f>
        <v>ผ่าน</v>
      </c>
    </row>
    <row r="10" spans="1:13" x14ac:dyDescent="0.3">
      <c r="A10" s="4" t="s">
        <v>157</v>
      </c>
      <c r="B10" s="4" t="s">
        <v>163</v>
      </c>
      <c r="C10" s="4" t="s">
        <v>50</v>
      </c>
      <c r="D10" s="5">
        <v>8</v>
      </c>
      <c r="E10" s="5">
        <v>0</v>
      </c>
      <c r="F10" s="6">
        <f t="shared" si="0"/>
        <v>0</v>
      </c>
      <c r="G10" s="7">
        <v>9.4571612500000004</v>
      </c>
      <c r="H10" s="7">
        <v>8.4903270000000006</v>
      </c>
      <c r="I10" s="7">
        <v>13.218090999999999</v>
      </c>
      <c r="J10" s="7">
        <v>15.0618245</v>
      </c>
      <c r="K10" s="7">
        <v>16.5368113</v>
      </c>
      <c r="L10" s="7">
        <v>16.905557999999999</v>
      </c>
      <c r="M10" s="8" t="str">
        <f>IF(AND(J10&lt;=วิธีทดสอบและเกณฑ์!$B$18,F10&lt;=วิธีทดสอบและเกณฑ์!$B$20),"ผ่าน","ไม่ผ่าน")</f>
        <v>ผ่าน</v>
      </c>
    </row>
    <row r="11" spans="1:13" x14ac:dyDescent="0.3">
      <c r="A11" s="4" t="s">
        <v>157</v>
      </c>
      <c r="B11" s="4" t="s">
        <v>164</v>
      </c>
      <c r="C11" s="4" t="s">
        <v>52</v>
      </c>
      <c r="D11" s="5">
        <v>8</v>
      </c>
      <c r="E11" s="5">
        <v>0</v>
      </c>
      <c r="F11" s="6">
        <f t="shared" si="0"/>
        <v>0</v>
      </c>
      <c r="G11" s="7">
        <v>11.140626125000001</v>
      </c>
      <c r="H11" s="7">
        <v>7.8872524999999998</v>
      </c>
      <c r="I11" s="7">
        <v>17.091298800000001</v>
      </c>
      <c r="J11" s="7">
        <v>24.56622990000001</v>
      </c>
      <c r="K11" s="7">
        <v>30.546174779999991</v>
      </c>
      <c r="L11" s="7">
        <v>32.041161000000002</v>
      </c>
      <c r="M11" s="8" t="str">
        <f>IF(AND(J11&lt;=วิธีทดสอบและเกณฑ์!$B$18,F11&lt;=วิธีทดสอบและเกณฑ์!$B$20),"ผ่าน","ไม่ผ่าน")</f>
        <v>ผ่าน</v>
      </c>
    </row>
    <row r="12" spans="1:13" x14ac:dyDescent="0.3">
      <c r="A12" s="4" t="s">
        <v>157</v>
      </c>
      <c r="B12" s="4" t="s">
        <v>165</v>
      </c>
      <c r="C12" s="4" t="s">
        <v>54</v>
      </c>
      <c r="D12" s="5">
        <v>8</v>
      </c>
      <c r="E12" s="5">
        <v>0</v>
      </c>
      <c r="F12" s="6">
        <f t="shared" si="0"/>
        <v>0</v>
      </c>
      <c r="G12" s="7">
        <v>6.89560525</v>
      </c>
      <c r="H12" s="7">
        <v>6.9319439999999997</v>
      </c>
      <c r="I12" s="7">
        <v>8.1090148000000006</v>
      </c>
      <c r="J12" s="7">
        <v>8.4388079000000005</v>
      </c>
      <c r="K12" s="7">
        <v>8.7026423800000003</v>
      </c>
      <c r="L12" s="7">
        <v>8.7686010000000003</v>
      </c>
      <c r="M12" s="8" t="str">
        <f>IF(AND(J12&lt;=วิธีทดสอบและเกณฑ์!$B$18,F12&lt;=วิธีทดสอบและเกณฑ์!$B$20),"ผ่าน","ไม่ผ่าน")</f>
        <v>ผ่าน</v>
      </c>
    </row>
    <row r="13" spans="1:13" x14ac:dyDescent="0.3">
      <c r="A13" s="4" t="s">
        <v>157</v>
      </c>
      <c r="B13" s="4" t="s">
        <v>166</v>
      </c>
      <c r="C13" s="4" t="s">
        <v>56</v>
      </c>
      <c r="D13" s="5">
        <v>8</v>
      </c>
      <c r="E13" s="5">
        <v>0</v>
      </c>
      <c r="F13" s="6">
        <f t="shared" si="0"/>
        <v>0</v>
      </c>
      <c r="G13" s="7">
        <v>16.699277875</v>
      </c>
      <c r="H13" s="7">
        <v>15.190811500000001</v>
      </c>
      <c r="I13" s="7">
        <v>22.969580799999999</v>
      </c>
      <c r="J13" s="7">
        <v>24.447576900000001</v>
      </c>
      <c r="K13" s="7">
        <v>25.62997378</v>
      </c>
      <c r="L13" s="7">
        <v>25.925573</v>
      </c>
      <c r="M13" s="8" t="str">
        <f>IF(AND(J13&lt;=วิธีทดสอบและเกณฑ์!$B$18,F13&lt;=วิธีทดสอบและเกณฑ์!$B$20),"ผ่าน","ไม่ผ่าน")</f>
        <v>ผ่าน</v>
      </c>
    </row>
    <row r="14" spans="1:13" x14ac:dyDescent="0.3">
      <c r="A14" s="4" t="s">
        <v>157</v>
      </c>
      <c r="B14" s="4" t="s">
        <v>167</v>
      </c>
      <c r="C14" s="4" t="s">
        <v>58</v>
      </c>
      <c r="D14" s="5">
        <v>8</v>
      </c>
      <c r="E14" s="5">
        <v>0</v>
      </c>
      <c r="F14" s="6">
        <f t="shared" si="0"/>
        <v>0</v>
      </c>
      <c r="G14" s="7">
        <v>4.9391394999999996</v>
      </c>
      <c r="H14" s="7">
        <v>4.5043024999999997</v>
      </c>
      <c r="I14" s="7">
        <v>6.4140034999999997</v>
      </c>
      <c r="J14" s="7">
        <v>6.7296947500000002</v>
      </c>
      <c r="K14" s="7">
        <v>6.9822477499999991</v>
      </c>
      <c r="L14" s="7">
        <v>7.0453859999999997</v>
      </c>
      <c r="M14" s="8" t="str">
        <f>IF(AND(J14&lt;=วิธีทดสอบและเกณฑ์!$B$18,F14&lt;=วิธีทดสอบและเกณฑ์!$B$20),"ผ่าน","ไม่ผ่าน")</f>
        <v>ผ่าน</v>
      </c>
    </row>
    <row r="15" spans="1:13" x14ac:dyDescent="0.3">
      <c r="A15" s="4" t="s">
        <v>157</v>
      </c>
      <c r="B15" s="4" t="s">
        <v>168</v>
      </c>
      <c r="C15" s="4" t="s">
        <v>60</v>
      </c>
      <c r="D15" s="5">
        <v>8</v>
      </c>
      <c r="E15" s="5">
        <v>0</v>
      </c>
      <c r="F15" s="6">
        <f t="shared" si="0"/>
        <v>0</v>
      </c>
      <c r="G15" s="7">
        <v>6.0254156249999999</v>
      </c>
      <c r="H15" s="7">
        <v>5.496702</v>
      </c>
      <c r="I15" s="7">
        <v>8.0670613000000007</v>
      </c>
      <c r="J15" s="7">
        <v>8.2987231500000007</v>
      </c>
      <c r="K15" s="7">
        <v>8.4840526300000008</v>
      </c>
      <c r="L15" s="7">
        <v>8.5303850000000008</v>
      </c>
      <c r="M15" s="8" t="str">
        <f>IF(AND(J15&lt;=วิธีทดสอบและเกณฑ์!$B$18,F15&lt;=วิธีทดสอบและเกณฑ์!$B$20),"ผ่าน","ไม่ผ่าน")</f>
        <v>ผ่าน</v>
      </c>
    </row>
    <row r="16" spans="1:13" x14ac:dyDescent="0.3">
      <c r="A16" s="4" t="s">
        <v>157</v>
      </c>
      <c r="B16" s="4" t="s">
        <v>169</v>
      </c>
      <c r="C16" s="4" t="s">
        <v>62</v>
      </c>
      <c r="D16" s="5">
        <v>8</v>
      </c>
      <c r="E16" s="5">
        <v>0</v>
      </c>
      <c r="F16" s="6">
        <f t="shared" si="0"/>
        <v>0</v>
      </c>
      <c r="G16" s="7">
        <v>17.529510125000002</v>
      </c>
      <c r="H16" s="7">
        <v>17.465705499999999</v>
      </c>
      <c r="I16" s="7">
        <v>19.505813</v>
      </c>
      <c r="J16" s="7">
        <v>19.668650499999998</v>
      </c>
      <c r="K16" s="7">
        <v>19.798920500000001</v>
      </c>
      <c r="L16" s="7">
        <v>19.831488</v>
      </c>
      <c r="M16" s="8" t="str">
        <f>IF(AND(J16&lt;=วิธีทดสอบและเกณฑ์!$B$18,F16&lt;=วิธีทดสอบและเกณฑ์!$B$20),"ผ่าน","ไม่ผ่าน")</f>
        <v>ผ่าน</v>
      </c>
    </row>
    <row r="17" spans="1:13" x14ac:dyDescent="0.3">
      <c r="A17" s="4" t="s">
        <v>157</v>
      </c>
      <c r="B17" s="4" t="s">
        <v>170</v>
      </c>
      <c r="C17" s="4" t="s">
        <v>64</v>
      </c>
      <c r="D17" s="5">
        <v>8</v>
      </c>
      <c r="E17" s="5">
        <v>0</v>
      </c>
      <c r="F17" s="6">
        <f t="shared" si="0"/>
        <v>0</v>
      </c>
      <c r="G17" s="7">
        <v>21.568182624999999</v>
      </c>
      <c r="H17" s="7">
        <v>22.680791500000002</v>
      </c>
      <c r="I17" s="7">
        <v>25.4613801</v>
      </c>
      <c r="J17" s="7">
        <v>25.849004050000001</v>
      </c>
      <c r="K17" s="7">
        <v>26.159103210000001</v>
      </c>
      <c r="L17" s="7">
        <v>26.236628</v>
      </c>
      <c r="M17" s="8" t="str">
        <f>IF(AND(J17&lt;=วิธีทดสอบและเกณฑ์!$B$18,F17&lt;=วิธีทดสอบและเกณฑ์!$B$20),"ผ่าน","ไม่ผ่าน")</f>
        <v>ผ่าน</v>
      </c>
    </row>
    <row r="18" spans="1:13" x14ac:dyDescent="0.3">
      <c r="A18" s="4" t="s">
        <v>157</v>
      </c>
      <c r="B18" s="4" t="s">
        <v>171</v>
      </c>
      <c r="C18" s="4" t="s">
        <v>66</v>
      </c>
      <c r="D18" s="5">
        <v>8</v>
      </c>
      <c r="E18" s="5">
        <v>0</v>
      </c>
      <c r="F18" s="6">
        <f t="shared" si="0"/>
        <v>0</v>
      </c>
      <c r="G18" s="7">
        <v>8.0326503749999993</v>
      </c>
      <c r="H18" s="7">
        <v>8.3871304999999996</v>
      </c>
      <c r="I18" s="7">
        <v>9.2847115000000002</v>
      </c>
      <c r="J18" s="7">
        <v>9.3558087499999996</v>
      </c>
      <c r="K18" s="7">
        <v>9.4126865500000001</v>
      </c>
      <c r="L18" s="7">
        <v>9.4269060000000007</v>
      </c>
      <c r="M18" s="8" t="str">
        <f>IF(AND(J18&lt;=วิธีทดสอบและเกณฑ์!$B$18,F18&lt;=วิธีทดสอบและเกณฑ์!$B$20),"ผ่าน","ไม่ผ่าน")</f>
        <v>ผ่าน</v>
      </c>
    </row>
    <row r="19" spans="1:13" x14ac:dyDescent="0.3">
      <c r="A19" s="4" t="s">
        <v>157</v>
      </c>
      <c r="B19" s="4" t="s">
        <v>172</v>
      </c>
      <c r="C19" s="4" t="s">
        <v>68</v>
      </c>
      <c r="D19" s="5">
        <v>8</v>
      </c>
      <c r="E19" s="5">
        <v>0</v>
      </c>
      <c r="F19" s="6">
        <f t="shared" si="0"/>
        <v>0</v>
      </c>
      <c r="G19" s="7">
        <v>12.112668125000001</v>
      </c>
      <c r="H19" s="7">
        <v>11.245286500000001</v>
      </c>
      <c r="I19" s="7">
        <v>16.198500200000002</v>
      </c>
      <c r="J19" s="7">
        <v>16.4132651</v>
      </c>
      <c r="K19" s="7">
        <v>16.58507702</v>
      </c>
      <c r="L19" s="7">
        <v>16.628029999999999</v>
      </c>
      <c r="M19" s="8" t="str">
        <f>IF(AND(J19&lt;=วิธีทดสอบและเกณฑ์!$B$18,F19&lt;=วิธีทดสอบและเกณฑ์!$B$20),"ผ่าน","ไม่ผ่าน")</f>
        <v>ผ่าน</v>
      </c>
    </row>
    <row r="20" spans="1:13" x14ac:dyDescent="0.3">
      <c r="A20" s="4" t="s">
        <v>173</v>
      </c>
      <c r="B20" s="4" t="s">
        <v>158</v>
      </c>
      <c r="C20" s="4" t="s">
        <v>40</v>
      </c>
      <c r="D20" s="5">
        <v>2240</v>
      </c>
      <c r="E20" s="5">
        <v>0</v>
      </c>
      <c r="F20" s="6">
        <f t="shared" si="0"/>
        <v>0</v>
      </c>
      <c r="G20" s="7">
        <v>3.2636679486607139</v>
      </c>
      <c r="H20" s="7">
        <v>2.7305549999999998</v>
      </c>
      <c r="I20" s="7">
        <v>4.7580228</v>
      </c>
      <c r="J20" s="7">
        <v>6.2646371500000004</v>
      </c>
      <c r="K20" s="7">
        <v>9.7207851300000456</v>
      </c>
      <c r="L20" s="7">
        <v>45.128463000000004</v>
      </c>
      <c r="M20" s="8" t="str">
        <f>IF(AND(J20&lt;=วิธีทดสอบและเกณฑ์!$B$18,F20&lt;=วิธีทดสอบและเกณฑ์!$B$20),"ผ่าน","ไม่ผ่าน")</f>
        <v>ผ่าน</v>
      </c>
    </row>
    <row r="21" spans="1:13" x14ac:dyDescent="0.3">
      <c r="A21" s="4" t="s">
        <v>173</v>
      </c>
      <c r="B21" s="4" t="s">
        <v>159</v>
      </c>
      <c r="C21" s="4" t="s">
        <v>42</v>
      </c>
      <c r="D21" s="5">
        <v>2240</v>
      </c>
      <c r="E21" s="5">
        <v>0</v>
      </c>
      <c r="F21" s="6">
        <f t="shared" si="0"/>
        <v>0</v>
      </c>
      <c r="G21" s="7">
        <v>3.4102472035714291</v>
      </c>
      <c r="H21" s="7">
        <v>2.9543149999999998</v>
      </c>
      <c r="I21" s="7">
        <v>4.7731019999999997</v>
      </c>
      <c r="J21" s="7">
        <v>6.0394934000000067</v>
      </c>
      <c r="K21" s="7">
        <v>9.4905203900000057</v>
      </c>
      <c r="L21" s="7">
        <v>38.076332999999998</v>
      </c>
      <c r="M21" s="8" t="str">
        <f>IF(AND(J21&lt;=วิธีทดสอบและเกณฑ์!$B$18,F21&lt;=วิธีทดสอบและเกณฑ์!$B$20),"ผ่าน","ไม่ผ่าน")</f>
        <v>ผ่าน</v>
      </c>
    </row>
    <row r="22" spans="1:13" x14ac:dyDescent="0.3">
      <c r="A22" s="4" t="s">
        <v>173</v>
      </c>
      <c r="B22" s="4" t="s">
        <v>160</v>
      </c>
      <c r="C22" s="4" t="s">
        <v>44</v>
      </c>
      <c r="D22" s="5">
        <v>2240</v>
      </c>
      <c r="E22" s="5">
        <v>0</v>
      </c>
      <c r="F22" s="6">
        <f t="shared" si="0"/>
        <v>0</v>
      </c>
      <c r="G22" s="7">
        <v>2.986390890178571</v>
      </c>
      <c r="H22" s="7">
        <v>2.5275395000000001</v>
      </c>
      <c r="I22" s="7">
        <v>4.4342977999999986</v>
      </c>
      <c r="J22" s="7">
        <v>5.6932541000000034</v>
      </c>
      <c r="K22" s="7">
        <v>8.1088994000000039</v>
      </c>
      <c r="L22" s="7">
        <v>23.627970000000001</v>
      </c>
      <c r="M22" s="8" t="str">
        <f>IF(AND(J22&lt;=วิธีทดสอบและเกณฑ์!$B$18,F22&lt;=วิธีทดสอบและเกณฑ์!$B$20),"ผ่าน","ไม่ผ่าน")</f>
        <v>ผ่าน</v>
      </c>
    </row>
    <row r="23" spans="1:13" x14ac:dyDescent="0.3">
      <c r="A23" s="4" t="s">
        <v>173</v>
      </c>
      <c r="B23" s="4" t="s">
        <v>161</v>
      </c>
      <c r="C23" s="4" t="s">
        <v>46</v>
      </c>
      <c r="D23" s="5">
        <v>2240</v>
      </c>
      <c r="E23" s="5">
        <v>0</v>
      </c>
      <c r="F23" s="6">
        <f t="shared" si="0"/>
        <v>0</v>
      </c>
      <c r="G23" s="7">
        <v>4.2290241178571426</v>
      </c>
      <c r="H23" s="7">
        <v>3.6949239999999999</v>
      </c>
      <c r="I23" s="7">
        <v>6.2895557000000002</v>
      </c>
      <c r="J23" s="7">
        <v>7.2691600000000038</v>
      </c>
      <c r="K23" s="7">
        <v>12.232175810000051</v>
      </c>
      <c r="L23" s="7">
        <v>61.856231000000001</v>
      </c>
      <c r="M23" s="8" t="str">
        <f>IF(AND(J23&lt;=วิธีทดสอบและเกณฑ์!$B$18,F23&lt;=วิธีทดสอบและเกณฑ์!$B$20),"ผ่าน","ไม่ผ่าน")</f>
        <v>ผ่าน</v>
      </c>
    </row>
    <row r="24" spans="1:13" x14ac:dyDescent="0.3">
      <c r="A24" s="4" t="s">
        <v>173</v>
      </c>
      <c r="B24" s="4" t="s">
        <v>162</v>
      </c>
      <c r="C24" s="4" t="s">
        <v>48</v>
      </c>
      <c r="D24" s="5">
        <v>1106</v>
      </c>
      <c r="E24" s="5">
        <v>0</v>
      </c>
      <c r="F24" s="6">
        <f t="shared" si="0"/>
        <v>0</v>
      </c>
      <c r="G24" s="7">
        <v>6.6052645343580467</v>
      </c>
      <c r="H24" s="7">
        <v>6.0507390000000001</v>
      </c>
      <c r="I24" s="7">
        <v>8.9830830000000006</v>
      </c>
      <c r="J24" s="7">
        <v>10.086808749999999</v>
      </c>
      <c r="K24" s="7">
        <v>12.709604150000009</v>
      </c>
      <c r="L24" s="7">
        <v>24.253919</v>
      </c>
      <c r="M24" s="8" t="str">
        <f>IF(AND(J24&lt;=วิธีทดสอบและเกณฑ์!$B$18,F24&lt;=วิธีทดสอบและเกณฑ์!$B$20),"ผ่าน","ไม่ผ่าน")</f>
        <v>ผ่าน</v>
      </c>
    </row>
    <row r="25" spans="1:13" x14ac:dyDescent="0.3">
      <c r="A25" s="4" t="s">
        <v>173</v>
      </c>
      <c r="B25" s="4" t="s">
        <v>163</v>
      </c>
      <c r="C25" s="4" t="s">
        <v>50</v>
      </c>
      <c r="D25" s="5">
        <v>1106</v>
      </c>
      <c r="E25" s="5">
        <v>0</v>
      </c>
      <c r="F25" s="6">
        <f t="shared" si="0"/>
        <v>0</v>
      </c>
      <c r="G25" s="7">
        <v>6.4389002359855336</v>
      </c>
      <c r="H25" s="7">
        <v>5.9466530000000004</v>
      </c>
      <c r="I25" s="7">
        <v>8.5633774999999996</v>
      </c>
      <c r="J25" s="7">
        <v>9.5593585000000001</v>
      </c>
      <c r="K25" s="7">
        <v>13.086986050000011</v>
      </c>
      <c r="L25" s="7">
        <v>26.594466000000001</v>
      </c>
      <c r="M25" s="8" t="str">
        <f>IF(AND(J25&lt;=วิธีทดสอบและเกณฑ์!$B$18,F25&lt;=วิธีทดสอบและเกณฑ์!$B$20),"ผ่าน","ไม่ผ่าน")</f>
        <v>ผ่าน</v>
      </c>
    </row>
    <row r="26" spans="1:13" x14ac:dyDescent="0.3">
      <c r="A26" s="4" t="s">
        <v>173</v>
      </c>
      <c r="B26" s="4" t="s">
        <v>164</v>
      </c>
      <c r="C26" s="4" t="s">
        <v>52</v>
      </c>
      <c r="D26" s="5">
        <v>1106</v>
      </c>
      <c r="E26" s="5">
        <v>0</v>
      </c>
      <c r="F26" s="6">
        <f t="shared" si="0"/>
        <v>0</v>
      </c>
      <c r="G26" s="7">
        <v>7.094194122965642</v>
      </c>
      <c r="H26" s="7">
        <v>6.4751064999999999</v>
      </c>
      <c r="I26" s="7">
        <v>9.5367724999999997</v>
      </c>
      <c r="J26" s="7">
        <v>11.0214705</v>
      </c>
      <c r="K26" s="7">
        <v>15.97992785000004</v>
      </c>
      <c r="L26" s="7">
        <v>33.743828000000001</v>
      </c>
      <c r="M26" s="8" t="str">
        <f>IF(AND(J26&lt;=วิธีทดสอบและเกณฑ์!$B$18,F26&lt;=วิธีทดสอบและเกณฑ์!$B$20),"ผ่าน","ไม่ผ่าน")</f>
        <v>ผ่าน</v>
      </c>
    </row>
    <row r="27" spans="1:13" x14ac:dyDescent="0.3">
      <c r="A27" s="4" t="s">
        <v>173</v>
      </c>
      <c r="B27" s="4" t="s">
        <v>165</v>
      </c>
      <c r="C27" s="4" t="s">
        <v>54</v>
      </c>
      <c r="D27" s="5">
        <v>1106</v>
      </c>
      <c r="E27" s="5">
        <v>0</v>
      </c>
      <c r="F27" s="6">
        <f t="shared" si="0"/>
        <v>0</v>
      </c>
      <c r="G27" s="7">
        <v>5.4969138634719714</v>
      </c>
      <c r="H27" s="7">
        <v>5.0024625</v>
      </c>
      <c r="I27" s="7">
        <v>7.4310070000000001</v>
      </c>
      <c r="J27" s="7">
        <v>8.6233439999999995</v>
      </c>
      <c r="K27" s="7">
        <v>12.26137880000001</v>
      </c>
      <c r="L27" s="7">
        <v>15.252414</v>
      </c>
      <c r="M27" s="8" t="str">
        <f>IF(AND(J27&lt;=วิธีทดสอบและเกณฑ์!$B$18,F27&lt;=วิธีทดสอบและเกณฑ์!$B$20),"ผ่าน","ไม่ผ่าน")</f>
        <v>ผ่าน</v>
      </c>
    </row>
    <row r="28" spans="1:13" x14ac:dyDescent="0.3">
      <c r="A28" s="4" t="s">
        <v>173</v>
      </c>
      <c r="B28" s="4" t="s">
        <v>166</v>
      </c>
      <c r="C28" s="4" t="s">
        <v>56</v>
      </c>
      <c r="D28" s="5">
        <v>1106</v>
      </c>
      <c r="E28" s="5">
        <v>0</v>
      </c>
      <c r="F28" s="6">
        <f t="shared" si="0"/>
        <v>0</v>
      </c>
      <c r="G28" s="7">
        <v>11.95179240958409</v>
      </c>
      <c r="H28" s="7">
        <v>11.295923</v>
      </c>
      <c r="I28" s="7">
        <v>15.4844905</v>
      </c>
      <c r="J28" s="7">
        <v>16.962393500000001</v>
      </c>
      <c r="K28" s="7">
        <v>20.909044999999999</v>
      </c>
      <c r="L28" s="7">
        <v>42.184192000000003</v>
      </c>
      <c r="M28" s="8" t="str">
        <f>IF(AND(J28&lt;=วิธีทดสอบและเกณฑ์!$B$18,F28&lt;=วิธีทดสอบและเกณฑ์!$B$20),"ผ่าน","ไม่ผ่าน")</f>
        <v>ผ่าน</v>
      </c>
    </row>
    <row r="29" spans="1:13" x14ac:dyDescent="0.3">
      <c r="A29" s="4" t="s">
        <v>173</v>
      </c>
      <c r="B29" s="4" t="s">
        <v>167</v>
      </c>
      <c r="C29" s="4" t="s">
        <v>58</v>
      </c>
      <c r="D29" s="5">
        <v>1106</v>
      </c>
      <c r="E29" s="5">
        <v>0</v>
      </c>
      <c r="F29" s="6">
        <f t="shared" si="0"/>
        <v>0</v>
      </c>
      <c r="G29" s="7">
        <v>4.5641078553345391</v>
      </c>
      <c r="H29" s="7">
        <v>3.9953115000000001</v>
      </c>
      <c r="I29" s="7">
        <v>6.4905105000000001</v>
      </c>
      <c r="J29" s="7">
        <v>7.7456209999999999</v>
      </c>
      <c r="K29" s="7">
        <v>10.634581799999999</v>
      </c>
      <c r="L29" s="7">
        <v>65.110907999999995</v>
      </c>
      <c r="M29" s="8" t="str">
        <f>IF(AND(J29&lt;=วิธีทดสอบและเกณฑ์!$B$18,F29&lt;=วิธีทดสอบและเกณฑ์!$B$20),"ผ่าน","ไม่ผ่าน")</f>
        <v>ผ่าน</v>
      </c>
    </row>
    <row r="30" spans="1:13" x14ac:dyDescent="0.3">
      <c r="A30" s="4" t="s">
        <v>173</v>
      </c>
      <c r="B30" s="4" t="s">
        <v>168</v>
      </c>
      <c r="C30" s="4" t="s">
        <v>60</v>
      </c>
      <c r="D30" s="5">
        <v>1106</v>
      </c>
      <c r="E30" s="5">
        <v>0</v>
      </c>
      <c r="F30" s="6">
        <f t="shared" si="0"/>
        <v>0</v>
      </c>
      <c r="G30" s="7">
        <v>4.7629707061482822</v>
      </c>
      <c r="H30" s="7">
        <v>4.2848540000000002</v>
      </c>
      <c r="I30" s="7">
        <v>6.5190885000000014</v>
      </c>
      <c r="J30" s="7">
        <v>7.8439955000000001</v>
      </c>
      <c r="K30" s="7">
        <v>11.064094700000011</v>
      </c>
      <c r="L30" s="7">
        <v>14.222754</v>
      </c>
      <c r="M30" s="8" t="str">
        <f>IF(AND(J30&lt;=วิธีทดสอบและเกณฑ์!$B$18,F30&lt;=วิธีทดสอบและเกณฑ์!$B$20),"ผ่าน","ไม่ผ่าน")</f>
        <v>ผ่าน</v>
      </c>
    </row>
    <row r="31" spans="1:13" x14ac:dyDescent="0.3">
      <c r="A31" s="4" t="s">
        <v>173</v>
      </c>
      <c r="B31" s="4" t="s">
        <v>169</v>
      </c>
      <c r="C31" s="4" t="s">
        <v>62</v>
      </c>
      <c r="D31" s="5">
        <v>1106</v>
      </c>
      <c r="E31" s="5">
        <v>0</v>
      </c>
      <c r="F31" s="6">
        <f t="shared" si="0"/>
        <v>0</v>
      </c>
      <c r="G31" s="7">
        <v>14.434939166365281</v>
      </c>
      <c r="H31" s="7">
        <v>13.618802499999999</v>
      </c>
      <c r="I31" s="7">
        <v>17.964119</v>
      </c>
      <c r="J31" s="7">
        <v>20.132728</v>
      </c>
      <c r="K31" s="7">
        <v>24.46557355000002</v>
      </c>
      <c r="L31" s="7">
        <v>63.997267000000001</v>
      </c>
      <c r="M31" s="8" t="str">
        <f>IF(AND(J31&lt;=วิธีทดสอบและเกณฑ์!$B$18,F31&lt;=วิธีทดสอบและเกณฑ์!$B$20),"ผ่าน","ไม่ผ่าน")</f>
        <v>ผ่าน</v>
      </c>
    </row>
    <row r="32" spans="1:13" x14ac:dyDescent="0.3">
      <c r="A32" s="4" t="s">
        <v>173</v>
      </c>
      <c r="B32" s="4" t="s">
        <v>170</v>
      </c>
      <c r="C32" s="4" t="s">
        <v>64</v>
      </c>
      <c r="D32" s="5">
        <v>1106</v>
      </c>
      <c r="E32" s="5">
        <v>0</v>
      </c>
      <c r="F32" s="6">
        <f t="shared" si="0"/>
        <v>0</v>
      </c>
      <c r="G32" s="7">
        <v>15.34711617631103</v>
      </c>
      <c r="H32" s="7">
        <v>14.394882000000001</v>
      </c>
      <c r="I32" s="7">
        <v>19.243399</v>
      </c>
      <c r="J32" s="7">
        <v>21.941360249999999</v>
      </c>
      <c r="K32" s="7">
        <v>26.431412250000001</v>
      </c>
      <c r="L32" s="7">
        <v>65.207700000000003</v>
      </c>
      <c r="M32" s="8" t="str">
        <f>IF(AND(J32&lt;=วิธีทดสอบและเกณฑ์!$B$18,F32&lt;=วิธีทดสอบและเกณฑ์!$B$20),"ผ่าน","ไม่ผ่าน")</f>
        <v>ผ่าน</v>
      </c>
    </row>
    <row r="33" spans="1:13" x14ac:dyDescent="0.3">
      <c r="A33" s="4" t="s">
        <v>173</v>
      </c>
      <c r="B33" s="4" t="s">
        <v>171</v>
      </c>
      <c r="C33" s="4" t="s">
        <v>66</v>
      </c>
      <c r="D33" s="5">
        <v>1106</v>
      </c>
      <c r="E33" s="5">
        <v>0</v>
      </c>
      <c r="F33" s="6">
        <f t="shared" si="0"/>
        <v>0</v>
      </c>
      <c r="G33" s="7">
        <v>5.7321507278481016</v>
      </c>
      <c r="H33" s="7">
        <v>5.2408025</v>
      </c>
      <c r="I33" s="7">
        <v>7.5232419999999998</v>
      </c>
      <c r="J33" s="7">
        <v>8.6895699999999998</v>
      </c>
      <c r="K33" s="7">
        <v>11.29123615</v>
      </c>
      <c r="L33" s="7">
        <v>22.957998</v>
      </c>
      <c r="M33" s="8" t="str">
        <f>IF(AND(J33&lt;=วิธีทดสอบและเกณฑ์!$B$18,F33&lt;=วิธีทดสอบและเกณฑ์!$B$20),"ผ่าน","ไม่ผ่าน")</f>
        <v>ผ่าน</v>
      </c>
    </row>
    <row r="34" spans="1:13" x14ac:dyDescent="0.3">
      <c r="A34" s="4" t="s">
        <v>173</v>
      </c>
      <c r="B34" s="4" t="s">
        <v>172</v>
      </c>
      <c r="C34" s="4" t="s">
        <v>68</v>
      </c>
      <c r="D34" s="5">
        <v>1106</v>
      </c>
      <c r="E34" s="5">
        <v>0</v>
      </c>
      <c r="F34" s="6">
        <f t="shared" si="0"/>
        <v>0</v>
      </c>
      <c r="G34" s="7">
        <v>8.6103935307414101</v>
      </c>
      <c r="H34" s="7">
        <v>7.9564024999999994</v>
      </c>
      <c r="I34" s="7">
        <v>11.637368499999999</v>
      </c>
      <c r="J34" s="7">
        <v>13.11551425</v>
      </c>
      <c r="K34" s="7">
        <v>17.517742000000009</v>
      </c>
      <c r="L34" s="7">
        <v>57.488695</v>
      </c>
      <c r="M34" s="8" t="str">
        <f>IF(AND(J34&lt;=วิธีทดสอบและเกณฑ์!$B$18,F34&lt;=วิธีทดสอบและเกณฑ์!$B$20),"ผ่าน","ไม่ผ่าน")</f>
        <v>ผ่าน</v>
      </c>
    </row>
    <row r="35" spans="1:13" x14ac:dyDescent="0.3">
      <c r="A35" s="4" t="s">
        <v>174</v>
      </c>
      <c r="B35" s="4" t="s">
        <v>158</v>
      </c>
      <c r="C35" s="4" t="s">
        <v>40</v>
      </c>
      <c r="D35" s="5">
        <v>8583</v>
      </c>
      <c r="E35" s="5">
        <v>0</v>
      </c>
      <c r="F35" s="6">
        <f t="shared" si="0"/>
        <v>0</v>
      </c>
      <c r="G35" s="7">
        <v>4.7577003277408831</v>
      </c>
      <c r="H35" s="7">
        <v>3.2814179999999999</v>
      </c>
      <c r="I35" s="7">
        <v>8.9405866000000014</v>
      </c>
      <c r="J35" s="7">
        <v>12.314757800000001</v>
      </c>
      <c r="K35" s="7">
        <v>22.59641750000004</v>
      </c>
      <c r="L35" s="7">
        <v>44.022612000000002</v>
      </c>
      <c r="M35" s="8" t="str">
        <f>IF(AND(J35&lt;=วิธีทดสอบและเกณฑ์!$B$18,F35&lt;=วิธีทดสอบและเกณฑ์!$B$20),"ผ่าน","ไม่ผ่าน")</f>
        <v>ผ่าน</v>
      </c>
    </row>
    <row r="36" spans="1:13" x14ac:dyDescent="0.3">
      <c r="A36" s="4" t="s">
        <v>174</v>
      </c>
      <c r="B36" s="4" t="s">
        <v>159</v>
      </c>
      <c r="C36" s="4" t="s">
        <v>42</v>
      </c>
      <c r="D36" s="5">
        <v>8583</v>
      </c>
      <c r="E36" s="5">
        <v>0</v>
      </c>
      <c r="F36" s="6">
        <f t="shared" si="0"/>
        <v>0</v>
      </c>
      <c r="G36" s="7">
        <v>4.867065161132472</v>
      </c>
      <c r="H36" s="7">
        <v>3.3443350000000001</v>
      </c>
      <c r="I36" s="7">
        <v>9.1918142000000014</v>
      </c>
      <c r="J36" s="7">
        <v>12.9729397</v>
      </c>
      <c r="K36" s="7">
        <v>21.823872220000009</v>
      </c>
      <c r="L36" s="7">
        <v>42.120652999999997</v>
      </c>
      <c r="M36" s="8" t="str">
        <f>IF(AND(J36&lt;=วิธีทดสอบและเกณฑ์!$B$18,F36&lt;=วิธีทดสอบและเกณฑ์!$B$20),"ผ่าน","ไม่ผ่าน")</f>
        <v>ผ่าน</v>
      </c>
    </row>
    <row r="37" spans="1:13" x14ac:dyDescent="0.3">
      <c r="A37" s="4" t="s">
        <v>174</v>
      </c>
      <c r="B37" s="4" t="s">
        <v>160</v>
      </c>
      <c r="C37" s="4" t="s">
        <v>44</v>
      </c>
      <c r="D37" s="5">
        <v>8583</v>
      </c>
      <c r="E37" s="5">
        <v>0</v>
      </c>
      <c r="F37" s="6">
        <f t="shared" ref="F37:F68" si="1">IF(D37=0,0,E37/D37)</f>
        <v>0</v>
      </c>
      <c r="G37" s="7">
        <v>4.5053735202143779</v>
      </c>
      <c r="H37" s="7">
        <v>3.002605</v>
      </c>
      <c r="I37" s="7">
        <v>8.9225180000000002</v>
      </c>
      <c r="J37" s="7">
        <v>12.1655727</v>
      </c>
      <c r="K37" s="7">
        <v>21.408842040000039</v>
      </c>
      <c r="L37" s="7">
        <v>37.253391000000001</v>
      </c>
      <c r="M37" s="8" t="str">
        <f>IF(AND(J37&lt;=วิธีทดสอบและเกณฑ์!$B$18,F37&lt;=วิธีทดสอบและเกณฑ์!$B$20),"ผ่าน","ไม่ผ่าน")</f>
        <v>ผ่าน</v>
      </c>
    </row>
    <row r="38" spans="1:13" x14ac:dyDescent="0.3">
      <c r="A38" s="4" t="s">
        <v>174</v>
      </c>
      <c r="B38" s="4" t="s">
        <v>161</v>
      </c>
      <c r="C38" s="4" t="s">
        <v>46</v>
      </c>
      <c r="D38" s="5">
        <v>8583</v>
      </c>
      <c r="E38" s="5">
        <v>0</v>
      </c>
      <c r="F38" s="6">
        <f t="shared" si="1"/>
        <v>0</v>
      </c>
      <c r="G38" s="7">
        <v>5.0319729523476644</v>
      </c>
      <c r="H38" s="7">
        <v>3.6019399999999999</v>
      </c>
      <c r="I38" s="7">
        <v>9.5078824000000015</v>
      </c>
      <c r="J38" s="7">
        <v>13.046887</v>
      </c>
      <c r="K38" s="7">
        <v>21.389996239999999</v>
      </c>
      <c r="L38" s="7">
        <v>38.083224000000001</v>
      </c>
      <c r="M38" s="8" t="str">
        <f>IF(AND(J38&lt;=วิธีทดสอบและเกณฑ์!$B$18,F38&lt;=วิธีทดสอบและเกณฑ์!$B$20),"ผ่าน","ไม่ผ่าน")</f>
        <v>ผ่าน</v>
      </c>
    </row>
    <row r="39" spans="1:13" x14ac:dyDescent="0.3">
      <c r="A39" s="4" t="s">
        <v>174</v>
      </c>
      <c r="B39" s="4" t="s">
        <v>162</v>
      </c>
      <c r="C39" s="4" t="s">
        <v>48</v>
      </c>
      <c r="D39" s="5">
        <v>4253</v>
      </c>
      <c r="E39" s="5">
        <v>0</v>
      </c>
      <c r="F39" s="6">
        <f t="shared" si="1"/>
        <v>0</v>
      </c>
      <c r="G39" s="7">
        <v>8.4995430985186928</v>
      </c>
      <c r="H39" s="7">
        <v>6.9057180000000002</v>
      </c>
      <c r="I39" s="7">
        <v>13.908363400000001</v>
      </c>
      <c r="J39" s="7">
        <v>18.023133999999999</v>
      </c>
      <c r="K39" s="7">
        <v>28.814975039999918</v>
      </c>
      <c r="L39" s="7">
        <v>51.132917999999997</v>
      </c>
      <c r="M39" s="8" t="str">
        <f>IF(AND(J39&lt;=วิธีทดสอบและเกณฑ์!$B$18,F39&lt;=วิธีทดสอบและเกณฑ์!$B$20),"ผ่าน","ไม่ผ่าน")</f>
        <v>ผ่าน</v>
      </c>
    </row>
    <row r="40" spans="1:13" x14ac:dyDescent="0.3">
      <c r="A40" s="4" t="s">
        <v>174</v>
      </c>
      <c r="B40" s="4" t="s">
        <v>163</v>
      </c>
      <c r="C40" s="4" t="s">
        <v>50</v>
      </c>
      <c r="D40" s="5">
        <v>4253</v>
      </c>
      <c r="E40" s="5">
        <v>0</v>
      </c>
      <c r="F40" s="6">
        <f t="shared" si="1"/>
        <v>0</v>
      </c>
      <c r="G40" s="7">
        <v>7.6781001972725136</v>
      </c>
      <c r="H40" s="7">
        <v>6.4524840000000001</v>
      </c>
      <c r="I40" s="7">
        <v>12.0789238</v>
      </c>
      <c r="J40" s="7">
        <v>15.008075</v>
      </c>
      <c r="K40" s="7">
        <v>23.052735679999991</v>
      </c>
      <c r="L40" s="7">
        <v>42.119414999999996</v>
      </c>
      <c r="M40" s="8" t="str">
        <f>IF(AND(J40&lt;=วิธีทดสอบและเกณฑ์!$B$18,F40&lt;=วิธีทดสอบและเกณฑ์!$B$20),"ผ่าน","ไม่ผ่าน")</f>
        <v>ผ่าน</v>
      </c>
    </row>
    <row r="41" spans="1:13" x14ac:dyDescent="0.3">
      <c r="A41" s="4" t="s">
        <v>174</v>
      </c>
      <c r="B41" s="4" t="s">
        <v>164</v>
      </c>
      <c r="C41" s="4" t="s">
        <v>52</v>
      </c>
      <c r="D41" s="5">
        <v>4253</v>
      </c>
      <c r="E41" s="5">
        <v>0</v>
      </c>
      <c r="F41" s="6">
        <f t="shared" si="1"/>
        <v>0</v>
      </c>
      <c r="G41" s="7">
        <v>8.9368762612273702</v>
      </c>
      <c r="H41" s="7">
        <v>7.0561610000000003</v>
      </c>
      <c r="I41" s="7">
        <v>14.7852482</v>
      </c>
      <c r="J41" s="7">
        <v>19.59705700000001</v>
      </c>
      <c r="K41" s="7">
        <v>31.320444599999629</v>
      </c>
      <c r="L41" s="7">
        <v>54.136564</v>
      </c>
      <c r="M41" s="8" t="str">
        <f>IF(AND(J41&lt;=วิธีทดสอบและเกณฑ์!$B$18,F41&lt;=วิธีทดสอบและเกณฑ์!$B$20),"ผ่าน","ไม่ผ่าน")</f>
        <v>ผ่าน</v>
      </c>
    </row>
    <row r="42" spans="1:13" x14ac:dyDescent="0.3">
      <c r="A42" s="4" t="s">
        <v>174</v>
      </c>
      <c r="B42" s="4" t="s">
        <v>165</v>
      </c>
      <c r="C42" s="4" t="s">
        <v>54</v>
      </c>
      <c r="D42" s="5">
        <v>4253</v>
      </c>
      <c r="E42" s="5">
        <v>0</v>
      </c>
      <c r="F42" s="6">
        <f t="shared" si="1"/>
        <v>0</v>
      </c>
      <c r="G42" s="7">
        <v>7.8644765998118968</v>
      </c>
      <c r="H42" s="7">
        <v>5.9135559999999998</v>
      </c>
      <c r="I42" s="7">
        <v>14.2239042</v>
      </c>
      <c r="J42" s="7">
        <v>18.465283199999998</v>
      </c>
      <c r="K42" s="7">
        <v>29.95047683999988</v>
      </c>
      <c r="L42" s="7">
        <v>52.571067999999997</v>
      </c>
      <c r="M42" s="8" t="str">
        <f>IF(AND(J42&lt;=วิธีทดสอบและเกณฑ์!$B$18,F42&lt;=วิธีทดสอบและเกณฑ์!$B$20),"ผ่าน","ไม่ผ่าน")</f>
        <v>ผ่าน</v>
      </c>
    </row>
    <row r="43" spans="1:13" x14ac:dyDescent="0.3">
      <c r="A43" s="4" t="s">
        <v>174</v>
      </c>
      <c r="B43" s="4" t="s">
        <v>166</v>
      </c>
      <c r="C43" s="4" t="s">
        <v>56</v>
      </c>
      <c r="D43" s="5">
        <v>4253</v>
      </c>
      <c r="E43" s="5">
        <v>0</v>
      </c>
      <c r="F43" s="6">
        <f t="shared" si="1"/>
        <v>0</v>
      </c>
      <c r="G43" s="7">
        <v>13.67530231013402</v>
      </c>
      <c r="H43" s="7">
        <v>11.880359</v>
      </c>
      <c r="I43" s="7">
        <v>20.2006668</v>
      </c>
      <c r="J43" s="7">
        <v>24.6604934</v>
      </c>
      <c r="K43" s="7">
        <v>37.049588079999992</v>
      </c>
      <c r="L43" s="7">
        <v>55.760617000000003</v>
      </c>
      <c r="M43" s="8" t="str">
        <f>IF(AND(J43&lt;=วิธีทดสอบและเกณฑ์!$B$18,F43&lt;=วิธีทดสอบและเกณฑ์!$B$20),"ผ่าน","ไม่ผ่าน")</f>
        <v>ผ่าน</v>
      </c>
    </row>
    <row r="44" spans="1:13" x14ac:dyDescent="0.3">
      <c r="A44" s="4" t="s">
        <v>174</v>
      </c>
      <c r="B44" s="4" t="s">
        <v>167</v>
      </c>
      <c r="C44" s="4" t="s">
        <v>58</v>
      </c>
      <c r="D44" s="5">
        <v>4253</v>
      </c>
      <c r="E44" s="5">
        <v>0</v>
      </c>
      <c r="F44" s="6">
        <f t="shared" si="1"/>
        <v>0</v>
      </c>
      <c r="G44" s="7">
        <v>4.4175212236068662</v>
      </c>
      <c r="H44" s="7">
        <v>3.4799929999999999</v>
      </c>
      <c r="I44" s="7">
        <v>7.4129752000000027</v>
      </c>
      <c r="J44" s="7">
        <v>9.2843818000000002</v>
      </c>
      <c r="K44" s="7">
        <v>14.88689779999997</v>
      </c>
      <c r="L44" s="7">
        <v>25.057236</v>
      </c>
      <c r="M44" s="8" t="str">
        <f>IF(AND(J44&lt;=วิธีทดสอบและเกณฑ์!$B$18,F44&lt;=วิธีทดสอบและเกณฑ์!$B$20),"ผ่าน","ไม่ผ่าน")</f>
        <v>ผ่าน</v>
      </c>
    </row>
    <row r="45" spans="1:13" x14ac:dyDescent="0.3">
      <c r="A45" s="4" t="s">
        <v>174</v>
      </c>
      <c r="B45" s="4" t="s">
        <v>168</v>
      </c>
      <c r="C45" s="4" t="s">
        <v>60</v>
      </c>
      <c r="D45" s="5">
        <v>4253</v>
      </c>
      <c r="E45" s="5">
        <v>0</v>
      </c>
      <c r="F45" s="6">
        <f t="shared" si="1"/>
        <v>0</v>
      </c>
      <c r="G45" s="7">
        <v>6.862805835410299</v>
      </c>
      <c r="H45" s="7">
        <v>5.0082969999999998</v>
      </c>
      <c r="I45" s="7">
        <v>12.602299800000001</v>
      </c>
      <c r="J45" s="7">
        <v>16.9380588</v>
      </c>
      <c r="K45" s="7">
        <v>28.938068999999771</v>
      </c>
      <c r="L45" s="7">
        <v>49.126517999999997</v>
      </c>
      <c r="M45" s="8" t="str">
        <f>IF(AND(J45&lt;=วิธีทดสอบและเกณฑ์!$B$18,F45&lt;=วิธีทดสอบและเกณฑ์!$B$20),"ผ่าน","ไม่ผ่าน")</f>
        <v>ผ่าน</v>
      </c>
    </row>
    <row r="46" spans="1:13" x14ac:dyDescent="0.3">
      <c r="A46" s="4" t="s">
        <v>174</v>
      </c>
      <c r="B46" s="4" t="s">
        <v>169</v>
      </c>
      <c r="C46" s="4" t="s">
        <v>62</v>
      </c>
      <c r="D46" s="5">
        <v>4253</v>
      </c>
      <c r="E46" s="5">
        <v>0</v>
      </c>
      <c r="F46" s="6">
        <f t="shared" si="1"/>
        <v>0</v>
      </c>
      <c r="G46" s="7">
        <v>19.144240447213729</v>
      </c>
      <c r="H46" s="7">
        <v>16.050383</v>
      </c>
      <c r="I46" s="7">
        <v>29.492798400000009</v>
      </c>
      <c r="J46" s="7">
        <v>37.874856999999999</v>
      </c>
      <c r="K46" s="7">
        <v>60.736183399999987</v>
      </c>
      <c r="L46" s="7">
        <v>94.758784000000006</v>
      </c>
      <c r="M46" s="8" t="str">
        <f>IF(AND(J46&lt;=วิธีทดสอบและเกณฑ์!$B$18,F46&lt;=วิธีทดสอบและเกณฑ์!$B$20),"ผ่าน","ไม่ผ่าน")</f>
        <v>ผ่าน</v>
      </c>
    </row>
    <row r="47" spans="1:13" x14ac:dyDescent="0.3">
      <c r="A47" s="4" t="s">
        <v>174</v>
      </c>
      <c r="B47" s="4" t="s">
        <v>170</v>
      </c>
      <c r="C47" s="4" t="s">
        <v>64</v>
      </c>
      <c r="D47" s="5">
        <v>4253</v>
      </c>
      <c r="E47" s="5">
        <v>0</v>
      </c>
      <c r="F47" s="6">
        <f t="shared" si="1"/>
        <v>0</v>
      </c>
      <c r="G47" s="7">
        <v>19.59675272137315</v>
      </c>
      <c r="H47" s="7">
        <v>16.715679000000002</v>
      </c>
      <c r="I47" s="7">
        <v>29.608334400000011</v>
      </c>
      <c r="J47" s="7">
        <v>37.599523000000012</v>
      </c>
      <c r="K47" s="7">
        <v>56.392320359999957</v>
      </c>
      <c r="L47" s="7">
        <v>86.099788000000004</v>
      </c>
      <c r="M47" s="8" t="str">
        <f>IF(AND(J47&lt;=วิธีทดสอบและเกณฑ์!$B$18,F47&lt;=วิธีทดสอบและเกณฑ์!$B$20),"ผ่าน","ไม่ผ่าน")</f>
        <v>ผ่าน</v>
      </c>
    </row>
    <row r="48" spans="1:13" x14ac:dyDescent="0.3">
      <c r="A48" s="4" t="s">
        <v>174</v>
      </c>
      <c r="B48" s="4" t="s">
        <v>171</v>
      </c>
      <c r="C48" s="4" t="s">
        <v>66</v>
      </c>
      <c r="D48" s="5">
        <v>4253</v>
      </c>
      <c r="E48" s="5">
        <v>0</v>
      </c>
      <c r="F48" s="6">
        <f t="shared" si="1"/>
        <v>0</v>
      </c>
      <c r="G48" s="7">
        <v>7.6303034429814236</v>
      </c>
      <c r="H48" s="7">
        <v>6.019749</v>
      </c>
      <c r="I48" s="7">
        <v>12.9576656</v>
      </c>
      <c r="J48" s="7">
        <v>16.8226874</v>
      </c>
      <c r="K48" s="7">
        <v>27.039365519999979</v>
      </c>
      <c r="L48" s="7">
        <v>41.607246000000004</v>
      </c>
      <c r="M48" s="8" t="str">
        <f>IF(AND(J48&lt;=วิธีทดสอบและเกณฑ์!$B$18,F48&lt;=วิธีทดสอบและเกณฑ์!$B$20),"ผ่าน","ไม่ผ่าน")</f>
        <v>ผ่าน</v>
      </c>
    </row>
    <row r="49" spans="1:13" x14ac:dyDescent="0.3">
      <c r="A49" s="4" t="s">
        <v>174</v>
      </c>
      <c r="B49" s="4" t="s">
        <v>172</v>
      </c>
      <c r="C49" s="4" t="s">
        <v>68</v>
      </c>
      <c r="D49" s="5">
        <v>4253</v>
      </c>
      <c r="E49" s="5">
        <v>0</v>
      </c>
      <c r="F49" s="6">
        <f t="shared" si="1"/>
        <v>0</v>
      </c>
      <c r="G49" s="7">
        <v>10.28137353421114</v>
      </c>
      <c r="H49" s="7">
        <v>8.2151060000000005</v>
      </c>
      <c r="I49" s="7">
        <v>17.057993200000009</v>
      </c>
      <c r="J49" s="7">
        <v>22.7052212</v>
      </c>
      <c r="K49" s="7">
        <v>36.164769599999921</v>
      </c>
      <c r="L49" s="7">
        <v>61.751741000000003</v>
      </c>
      <c r="M49" s="8" t="str">
        <f>IF(AND(J49&lt;=วิธีทดสอบและเกณฑ์!$B$18,F49&lt;=วิธีทดสอบและเกณฑ์!$B$20),"ผ่าน","ไม่ผ่าน")</f>
        <v>ผ่าน</v>
      </c>
    </row>
    <row r="50" spans="1:13" x14ac:dyDescent="0.3">
      <c r="A50" s="4" t="s">
        <v>175</v>
      </c>
      <c r="B50" s="4" t="s">
        <v>158</v>
      </c>
      <c r="C50" s="4" t="s">
        <v>40</v>
      </c>
      <c r="D50" s="5">
        <v>3924</v>
      </c>
      <c r="E50" s="5">
        <v>0</v>
      </c>
      <c r="F50" s="6">
        <f t="shared" si="1"/>
        <v>0</v>
      </c>
      <c r="G50" s="7">
        <v>8.6011879133537192</v>
      </c>
      <c r="H50" s="7">
        <v>5.7576925000000001</v>
      </c>
      <c r="I50" s="7">
        <v>19.551503400000001</v>
      </c>
      <c r="J50" s="7">
        <v>24.179043100000001</v>
      </c>
      <c r="K50" s="7">
        <v>32.535797289999998</v>
      </c>
      <c r="L50" s="7">
        <v>49.033799999999999</v>
      </c>
      <c r="M50" s="8" t="str">
        <f>IF(AND(J50&lt;=วิธีทดสอบและเกณฑ์!$B$18,F50&lt;=วิธีทดสอบและเกณฑ์!$B$20),"ผ่าน","ไม่ผ่าน")</f>
        <v>ผ่าน</v>
      </c>
    </row>
    <row r="51" spans="1:13" x14ac:dyDescent="0.3">
      <c r="A51" s="4" t="s">
        <v>175</v>
      </c>
      <c r="B51" s="4" t="s">
        <v>159</v>
      </c>
      <c r="C51" s="4" t="s">
        <v>42</v>
      </c>
      <c r="D51" s="5">
        <v>3924</v>
      </c>
      <c r="E51" s="5">
        <v>0</v>
      </c>
      <c r="F51" s="6">
        <f t="shared" si="1"/>
        <v>0</v>
      </c>
      <c r="G51" s="7">
        <v>8.82819515927625</v>
      </c>
      <c r="H51" s="7">
        <v>5.9645014999999999</v>
      </c>
      <c r="I51" s="7">
        <v>20.035204799999988</v>
      </c>
      <c r="J51" s="7">
        <v>24.714178050000001</v>
      </c>
      <c r="K51" s="7">
        <v>32.668148159999987</v>
      </c>
      <c r="L51" s="7">
        <v>42.099012999999999</v>
      </c>
      <c r="M51" s="8" t="str">
        <f>IF(AND(J51&lt;=วิธีทดสอบและเกณฑ์!$B$18,F51&lt;=วิธีทดสอบและเกณฑ์!$B$20),"ผ่าน","ไม่ผ่าน")</f>
        <v>ผ่าน</v>
      </c>
    </row>
    <row r="52" spans="1:13" x14ac:dyDescent="0.3">
      <c r="A52" s="4" t="s">
        <v>175</v>
      </c>
      <c r="B52" s="4" t="s">
        <v>160</v>
      </c>
      <c r="C52" s="4" t="s">
        <v>44</v>
      </c>
      <c r="D52" s="5">
        <v>3924</v>
      </c>
      <c r="E52" s="5">
        <v>0</v>
      </c>
      <c r="F52" s="6">
        <f t="shared" si="1"/>
        <v>0</v>
      </c>
      <c r="G52" s="7">
        <v>8.4712021439857299</v>
      </c>
      <c r="H52" s="7">
        <v>5.5152485000000002</v>
      </c>
      <c r="I52" s="7">
        <v>19.718361399999999</v>
      </c>
      <c r="J52" s="7">
        <v>24.090067950000002</v>
      </c>
      <c r="K52" s="7">
        <v>32.272112280000002</v>
      </c>
      <c r="L52" s="7">
        <v>41.608553999999998</v>
      </c>
      <c r="M52" s="8" t="str">
        <f>IF(AND(J52&lt;=วิธีทดสอบและเกณฑ์!$B$18,F52&lt;=วิธีทดสอบและเกณฑ์!$B$20),"ผ่าน","ไม่ผ่าน")</f>
        <v>ผ่าน</v>
      </c>
    </row>
    <row r="53" spans="1:13" x14ac:dyDescent="0.3">
      <c r="A53" s="4" t="s">
        <v>175</v>
      </c>
      <c r="B53" s="4" t="s">
        <v>161</v>
      </c>
      <c r="C53" s="4" t="s">
        <v>46</v>
      </c>
      <c r="D53" s="5">
        <v>3924</v>
      </c>
      <c r="E53" s="5">
        <v>0</v>
      </c>
      <c r="F53" s="6">
        <f t="shared" si="1"/>
        <v>0</v>
      </c>
      <c r="G53" s="7">
        <v>8.9464504296636083</v>
      </c>
      <c r="H53" s="7">
        <v>6.1642975</v>
      </c>
      <c r="I53" s="7">
        <v>19.436616399999998</v>
      </c>
      <c r="J53" s="7">
        <v>24.382688049999999</v>
      </c>
      <c r="K53" s="7">
        <v>33.03885081</v>
      </c>
      <c r="L53" s="7">
        <v>51.555346</v>
      </c>
      <c r="M53" s="8" t="str">
        <f>IF(AND(J53&lt;=วิธีทดสอบและเกณฑ์!$B$18,F53&lt;=วิธีทดสอบและเกณฑ์!$B$20),"ผ่าน","ไม่ผ่าน")</f>
        <v>ผ่าน</v>
      </c>
    </row>
    <row r="54" spans="1:13" x14ac:dyDescent="0.3">
      <c r="A54" s="4" t="s">
        <v>175</v>
      </c>
      <c r="B54" s="4" t="s">
        <v>162</v>
      </c>
      <c r="C54" s="4" t="s">
        <v>48</v>
      </c>
      <c r="D54" s="5">
        <v>1936</v>
      </c>
      <c r="E54" s="5">
        <v>0</v>
      </c>
      <c r="F54" s="6">
        <f t="shared" si="1"/>
        <v>0</v>
      </c>
      <c r="G54" s="7">
        <v>13.250287326962811</v>
      </c>
      <c r="H54" s="7">
        <v>10.347443500000001</v>
      </c>
      <c r="I54" s="7">
        <v>25.756842500000001</v>
      </c>
      <c r="J54" s="7">
        <v>30.581741749999999</v>
      </c>
      <c r="K54" s="7">
        <v>37.920707000000029</v>
      </c>
      <c r="L54" s="7">
        <v>55.914676</v>
      </c>
      <c r="M54" s="8" t="str">
        <f>IF(AND(J54&lt;=วิธีทดสอบและเกณฑ์!$B$18,F54&lt;=วิธีทดสอบและเกณฑ์!$B$20),"ผ่าน","ไม่ผ่าน")</f>
        <v>ผ่าน</v>
      </c>
    </row>
    <row r="55" spans="1:13" x14ac:dyDescent="0.3">
      <c r="A55" s="4" t="s">
        <v>175</v>
      </c>
      <c r="B55" s="4" t="s">
        <v>163</v>
      </c>
      <c r="C55" s="4" t="s">
        <v>50</v>
      </c>
      <c r="D55" s="5">
        <v>1936</v>
      </c>
      <c r="E55" s="5">
        <v>0</v>
      </c>
      <c r="F55" s="6">
        <f t="shared" si="1"/>
        <v>0</v>
      </c>
      <c r="G55" s="7">
        <v>11.42109011828512</v>
      </c>
      <c r="H55" s="7">
        <v>9.2189820000000005</v>
      </c>
      <c r="I55" s="7">
        <v>21.473551499999999</v>
      </c>
      <c r="J55" s="7">
        <v>24.897789750000001</v>
      </c>
      <c r="K55" s="7">
        <v>31.92430430000001</v>
      </c>
      <c r="L55" s="7">
        <v>53.046813</v>
      </c>
      <c r="M55" s="8" t="str">
        <f>IF(AND(J55&lt;=วิธีทดสอบและเกณฑ์!$B$18,F55&lt;=วิธีทดสอบและเกณฑ์!$B$20),"ผ่าน","ไม่ผ่าน")</f>
        <v>ผ่าน</v>
      </c>
    </row>
    <row r="56" spans="1:13" x14ac:dyDescent="0.3">
      <c r="A56" s="4" t="s">
        <v>175</v>
      </c>
      <c r="B56" s="4" t="s">
        <v>164</v>
      </c>
      <c r="C56" s="4" t="s">
        <v>52</v>
      </c>
      <c r="D56" s="5">
        <v>1936</v>
      </c>
      <c r="E56" s="5">
        <v>0</v>
      </c>
      <c r="F56" s="6">
        <f t="shared" si="1"/>
        <v>0</v>
      </c>
      <c r="G56" s="7">
        <v>14.13332467252066</v>
      </c>
      <c r="H56" s="7">
        <v>10.716300499999999</v>
      </c>
      <c r="I56" s="7">
        <v>28.158954999999999</v>
      </c>
      <c r="J56" s="7">
        <v>33.488244999999999</v>
      </c>
      <c r="K56" s="7">
        <v>41.106838500000038</v>
      </c>
      <c r="L56" s="7">
        <v>58.661735</v>
      </c>
      <c r="M56" s="8" t="str">
        <f>IF(AND(J56&lt;=วิธีทดสอบและเกณฑ์!$B$18,F56&lt;=วิธีทดสอบและเกณฑ์!$B$20),"ผ่าน","ไม่ผ่าน")</f>
        <v>ผ่าน</v>
      </c>
    </row>
    <row r="57" spans="1:13" x14ac:dyDescent="0.3">
      <c r="A57" s="4" t="s">
        <v>175</v>
      </c>
      <c r="B57" s="4" t="s">
        <v>165</v>
      </c>
      <c r="C57" s="4" t="s">
        <v>54</v>
      </c>
      <c r="D57" s="5">
        <v>1936</v>
      </c>
      <c r="E57" s="5">
        <v>0</v>
      </c>
      <c r="F57" s="6">
        <f t="shared" si="1"/>
        <v>0</v>
      </c>
      <c r="G57" s="7">
        <v>13.240777537706609</v>
      </c>
      <c r="H57" s="7">
        <v>9.6594160000000002</v>
      </c>
      <c r="I57" s="7">
        <v>27.134681</v>
      </c>
      <c r="J57" s="7">
        <v>32.965600999999999</v>
      </c>
      <c r="K57" s="7">
        <v>41.851732000000048</v>
      </c>
      <c r="L57" s="7">
        <v>64.362809999999996</v>
      </c>
      <c r="M57" s="8" t="str">
        <f>IF(AND(J57&lt;=วิธีทดสอบและเกณฑ์!$B$18,F57&lt;=วิธีทดสอบและเกณฑ์!$B$20),"ผ่าน","ไม่ผ่าน")</f>
        <v>ผ่าน</v>
      </c>
    </row>
    <row r="58" spans="1:13" x14ac:dyDescent="0.3">
      <c r="A58" s="4" t="s">
        <v>175</v>
      </c>
      <c r="B58" s="4" t="s">
        <v>166</v>
      </c>
      <c r="C58" s="4" t="s">
        <v>56</v>
      </c>
      <c r="D58" s="5">
        <v>1936</v>
      </c>
      <c r="E58" s="5">
        <v>0</v>
      </c>
      <c r="F58" s="6">
        <f t="shared" si="1"/>
        <v>0</v>
      </c>
      <c r="G58" s="7">
        <v>19.307307391012401</v>
      </c>
      <c r="H58" s="7">
        <v>16.288171500000001</v>
      </c>
      <c r="I58" s="7">
        <v>33.442874000000003</v>
      </c>
      <c r="J58" s="7">
        <v>38.863488750000002</v>
      </c>
      <c r="K58" s="7">
        <v>46.278006700000013</v>
      </c>
      <c r="L58" s="7">
        <v>65.848600000000005</v>
      </c>
      <c r="M58" s="8" t="str">
        <f>IF(AND(J58&lt;=วิธีทดสอบและเกณฑ์!$B$18,F58&lt;=วิธีทดสอบและเกณฑ์!$B$20),"ผ่าน","ไม่ผ่าน")</f>
        <v>ผ่าน</v>
      </c>
    </row>
    <row r="59" spans="1:13" x14ac:dyDescent="0.3">
      <c r="A59" s="4" t="s">
        <v>175</v>
      </c>
      <c r="B59" s="4" t="s">
        <v>167</v>
      </c>
      <c r="C59" s="4" t="s">
        <v>58</v>
      </c>
      <c r="D59" s="5">
        <v>1936</v>
      </c>
      <c r="E59" s="5">
        <v>0</v>
      </c>
      <c r="F59" s="6">
        <f t="shared" si="1"/>
        <v>0</v>
      </c>
      <c r="G59" s="7">
        <v>6.5993298527892561</v>
      </c>
      <c r="H59" s="7">
        <v>5.211309</v>
      </c>
      <c r="I59" s="7">
        <v>12.719989500000001</v>
      </c>
      <c r="J59" s="7">
        <v>16.161139500000001</v>
      </c>
      <c r="K59" s="7">
        <v>21.63132185000001</v>
      </c>
      <c r="L59" s="7">
        <v>27.658895999999999</v>
      </c>
      <c r="M59" s="8" t="str">
        <f>IF(AND(J59&lt;=วิธีทดสอบและเกณฑ์!$B$18,F59&lt;=วิธีทดสอบและเกณฑ์!$B$20),"ผ่าน","ไม่ผ่าน")</f>
        <v>ผ่าน</v>
      </c>
    </row>
    <row r="60" spans="1:13" x14ac:dyDescent="0.3">
      <c r="A60" s="4" t="s">
        <v>175</v>
      </c>
      <c r="B60" s="4" t="s">
        <v>168</v>
      </c>
      <c r="C60" s="4" t="s">
        <v>60</v>
      </c>
      <c r="D60" s="5">
        <v>1936</v>
      </c>
      <c r="E60" s="5">
        <v>0</v>
      </c>
      <c r="F60" s="6">
        <f t="shared" si="1"/>
        <v>0</v>
      </c>
      <c r="G60" s="7">
        <v>12.085276188016531</v>
      </c>
      <c r="H60" s="7">
        <v>8.8751564999999992</v>
      </c>
      <c r="I60" s="7">
        <v>25.429213499999999</v>
      </c>
      <c r="J60" s="7">
        <v>31.6345995</v>
      </c>
      <c r="K60" s="7">
        <v>41.819915700000017</v>
      </c>
      <c r="L60" s="7">
        <v>52.381349999999998</v>
      </c>
      <c r="M60" s="8" t="str">
        <f>IF(AND(J60&lt;=วิธีทดสอบและเกณฑ์!$B$18,F60&lt;=วิธีทดสอบและเกณฑ์!$B$20),"ผ่าน","ไม่ผ่าน")</f>
        <v>ผ่าน</v>
      </c>
    </row>
    <row r="61" spans="1:13" x14ac:dyDescent="0.3">
      <c r="A61" s="4" t="s">
        <v>175</v>
      </c>
      <c r="B61" s="4" t="s">
        <v>169</v>
      </c>
      <c r="C61" s="4" t="s">
        <v>62</v>
      </c>
      <c r="D61" s="5">
        <v>1936</v>
      </c>
      <c r="E61" s="5">
        <v>0</v>
      </c>
      <c r="F61" s="6">
        <f t="shared" si="1"/>
        <v>0</v>
      </c>
      <c r="G61" s="7">
        <v>30.34655412706611</v>
      </c>
      <c r="H61" s="7">
        <v>24.135576499999999</v>
      </c>
      <c r="I61" s="7">
        <v>58.808449499999988</v>
      </c>
      <c r="J61" s="7">
        <v>67.679485499999998</v>
      </c>
      <c r="K61" s="7">
        <v>82.136106450000028</v>
      </c>
      <c r="L61" s="7">
        <v>98.858687000000003</v>
      </c>
      <c r="M61" s="8" t="str">
        <f>IF(AND(J61&lt;=วิธีทดสอบและเกณฑ์!$B$18,F61&lt;=วิธีทดสอบและเกณฑ์!$B$20),"ผ่าน","ไม่ผ่าน")</f>
        <v>ผ่าน</v>
      </c>
    </row>
    <row r="62" spans="1:13" x14ac:dyDescent="0.3">
      <c r="A62" s="4" t="s">
        <v>175</v>
      </c>
      <c r="B62" s="4" t="s">
        <v>170</v>
      </c>
      <c r="C62" s="4" t="s">
        <v>64</v>
      </c>
      <c r="D62" s="5">
        <v>1936</v>
      </c>
      <c r="E62" s="5">
        <v>0</v>
      </c>
      <c r="F62" s="6">
        <f t="shared" si="1"/>
        <v>0</v>
      </c>
      <c r="G62" s="7">
        <v>30.259018560950409</v>
      </c>
      <c r="H62" s="7">
        <v>25.310725000000001</v>
      </c>
      <c r="I62" s="7">
        <v>54.684116000000003</v>
      </c>
      <c r="J62" s="7">
        <v>63.930670999999997</v>
      </c>
      <c r="K62" s="7">
        <v>77.185516300000003</v>
      </c>
      <c r="L62" s="7">
        <v>96.777364000000006</v>
      </c>
      <c r="M62" s="8" t="str">
        <f>IF(AND(J62&lt;=วิธีทดสอบและเกณฑ์!$B$18,F62&lt;=วิธีทดสอบและเกณฑ์!$B$20),"ผ่าน","ไม่ผ่าน")</f>
        <v>ผ่าน</v>
      </c>
    </row>
    <row r="63" spans="1:13" x14ac:dyDescent="0.3">
      <c r="A63" s="4" t="s">
        <v>175</v>
      </c>
      <c r="B63" s="4" t="s">
        <v>171</v>
      </c>
      <c r="C63" s="4" t="s">
        <v>66</v>
      </c>
      <c r="D63" s="5">
        <v>1936</v>
      </c>
      <c r="E63" s="5">
        <v>0</v>
      </c>
      <c r="F63" s="6">
        <f t="shared" si="1"/>
        <v>0</v>
      </c>
      <c r="G63" s="7">
        <v>12.760213100206609</v>
      </c>
      <c r="H63" s="7">
        <v>9.5691465000000004</v>
      </c>
      <c r="I63" s="7">
        <v>25.811900000000001</v>
      </c>
      <c r="J63" s="7">
        <v>31.12006775</v>
      </c>
      <c r="K63" s="7">
        <v>39.461520300000018</v>
      </c>
      <c r="L63" s="7">
        <v>49.370297000000001</v>
      </c>
      <c r="M63" s="8" t="str">
        <f>IF(AND(J63&lt;=วิธีทดสอบและเกณฑ์!$B$18,F63&lt;=วิธีทดสอบและเกณฑ์!$B$20),"ผ่าน","ไม่ผ่าน")</f>
        <v>ผ่าน</v>
      </c>
    </row>
    <row r="64" spans="1:13" x14ac:dyDescent="0.3">
      <c r="A64" s="4" t="s">
        <v>175</v>
      </c>
      <c r="B64" s="4" t="s">
        <v>172</v>
      </c>
      <c r="C64" s="4" t="s">
        <v>68</v>
      </c>
      <c r="D64" s="5">
        <v>1936</v>
      </c>
      <c r="E64" s="5">
        <v>0</v>
      </c>
      <c r="F64" s="6">
        <f t="shared" si="1"/>
        <v>0</v>
      </c>
      <c r="G64" s="7">
        <v>17.304314145661159</v>
      </c>
      <c r="H64" s="7">
        <v>13.374371</v>
      </c>
      <c r="I64" s="7">
        <v>34.5229</v>
      </c>
      <c r="J64" s="7">
        <v>40.746410500000003</v>
      </c>
      <c r="K64" s="7">
        <v>51.50823535</v>
      </c>
      <c r="L64" s="7">
        <v>72.561468000000005</v>
      </c>
      <c r="M64" s="8" t="str">
        <f>IF(AND(J64&lt;=วิธีทดสอบและเกณฑ์!$B$18,F64&lt;=วิธีทดสอบและเกณฑ์!$B$20),"ผ่าน","ไม่ผ่าน")</f>
        <v>ผ่าน</v>
      </c>
    </row>
    <row r="65" spans="1:13" x14ac:dyDescent="0.3">
      <c r="A65" s="4" t="s">
        <v>176</v>
      </c>
      <c r="B65" s="4" t="s">
        <v>177</v>
      </c>
      <c r="C65" s="4" t="s">
        <v>178</v>
      </c>
      <c r="D65" s="5">
        <v>254</v>
      </c>
      <c r="E65" s="5">
        <v>0</v>
      </c>
      <c r="F65" s="6">
        <f t="shared" si="1"/>
        <v>0</v>
      </c>
      <c r="G65" s="7">
        <v>1343.089530204724</v>
      </c>
      <c r="H65" s="7">
        <v>1312.3330470000001</v>
      </c>
      <c r="I65" s="7">
        <v>1617.7482789999999</v>
      </c>
      <c r="J65" s="7">
        <v>1899.4901523000001</v>
      </c>
      <c r="K65" s="7">
        <v>1925.5632116100001</v>
      </c>
      <c r="L65" s="7">
        <v>2023.886448</v>
      </c>
      <c r="M65" s="8" t="str">
        <f>IF(AND(J65&lt;=วิธีทดสอบและเกณฑ์!$B$19,F65&lt;=วิธีทดสอบและเกณฑ์!$B$20),"ผ่าน","ไม่ผ่าน")</f>
        <v>ผ่าน</v>
      </c>
    </row>
  </sheetData>
  <autoFilter ref="A4:M65" xr:uid="{00000000-0009-0000-0000-000003000000}"/>
  <conditionalFormatting sqref="M5:M65">
    <cfRule type="cellIs" dxfId="4" priority="1" operator="equal">
      <formula>"ผ่าน"</formula>
    </cfRule>
    <cfRule type="cellIs" dxfId="3" priority="2" operator="equal">
      <formula>"ไม่ผ่าน"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4ED8"/>
  </sheetPr>
  <dimension ref="A1:G66"/>
  <sheetViews>
    <sheetView showGridLines="0" workbookViewId="0"/>
  </sheetViews>
  <sheetFormatPr defaultRowHeight="14.4" x14ac:dyDescent="0.3"/>
  <cols>
    <col min="1" max="2" width="10" customWidth="1"/>
    <col min="3" max="3" width="13" customWidth="1"/>
    <col min="4" max="4" width="10" customWidth="1"/>
    <col min="5" max="5" width="12" customWidth="1"/>
    <col min="6" max="6" width="11" customWidth="1"/>
    <col min="7" max="7" width="10" customWidth="1"/>
  </cols>
  <sheetData>
    <row r="1" spans="1:7" ht="17.399999999999999" x14ac:dyDescent="0.3">
      <c r="A1" s="1" t="s">
        <v>179</v>
      </c>
    </row>
    <row r="2" spans="1:7" x14ac:dyDescent="0.3">
      <c r="A2" s="2" t="s">
        <v>180</v>
      </c>
    </row>
    <row r="4" spans="1:7" ht="31.95" customHeight="1" x14ac:dyDescent="0.3">
      <c r="A4" s="3" t="s">
        <v>2</v>
      </c>
      <c r="B4" s="3" t="s">
        <v>181</v>
      </c>
      <c r="C4" s="3" t="s">
        <v>182</v>
      </c>
      <c r="D4" s="3" t="s">
        <v>183</v>
      </c>
      <c r="E4" s="3" t="s">
        <v>8</v>
      </c>
      <c r="F4" s="3" t="s">
        <v>184</v>
      </c>
      <c r="G4" s="3" t="s">
        <v>185</v>
      </c>
    </row>
    <row r="5" spans="1:7" x14ac:dyDescent="0.3">
      <c r="A5" s="4" t="s">
        <v>173</v>
      </c>
      <c r="B5" s="5">
        <v>0</v>
      </c>
      <c r="C5" s="5">
        <v>10</v>
      </c>
      <c r="D5" s="5">
        <v>226</v>
      </c>
      <c r="E5" s="7">
        <f t="shared" ref="E5:E22" si="0">D5/15</f>
        <v>15.066666666666666</v>
      </c>
      <c r="F5" s="7">
        <v>16.595402750000002</v>
      </c>
      <c r="G5" s="6">
        <f t="shared" ref="G5:G22" si="1">IF(D5=0,0,0/D5)</f>
        <v>0</v>
      </c>
    </row>
    <row r="6" spans="1:7" x14ac:dyDescent="0.3">
      <c r="A6" s="4" t="s">
        <v>173</v>
      </c>
      <c r="B6" s="5">
        <v>15</v>
      </c>
      <c r="C6" s="5">
        <v>20</v>
      </c>
      <c r="D6" s="5">
        <v>576</v>
      </c>
      <c r="E6" s="7">
        <f t="shared" si="0"/>
        <v>38.4</v>
      </c>
      <c r="F6" s="7">
        <v>14.999670999999999</v>
      </c>
      <c r="G6" s="6">
        <f t="shared" si="1"/>
        <v>0</v>
      </c>
    </row>
    <row r="7" spans="1:7" x14ac:dyDescent="0.3">
      <c r="A7" s="4" t="s">
        <v>173</v>
      </c>
      <c r="B7" s="5">
        <v>30</v>
      </c>
      <c r="C7" s="5">
        <v>30</v>
      </c>
      <c r="D7" s="5">
        <v>943</v>
      </c>
      <c r="E7" s="7">
        <f t="shared" si="0"/>
        <v>62.866666666666667</v>
      </c>
      <c r="F7" s="7">
        <v>16.994596399999999</v>
      </c>
      <c r="G7" s="6">
        <f t="shared" si="1"/>
        <v>0</v>
      </c>
    </row>
    <row r="8" spans="1:7" x14ac:dyDescent="0.3">
      <c r="A8" s="4" t="s">
        <v>173</v>
      </c>
      <c r="B8" s="5">
        <v>45</v>
      </c>
      <c r="C8" s="5">
        <v>40</v>
      </c>
      <c r="D8" s="5">
        <v>1259</v>
      </c>
      <c r="E8" s="7">
        <f t="shared" si="0"/>
        <v>83.933333333333337</v>
      </c>
      <c r="F8" s="7">
        <v>16.71094669999999</v>
      </c>
      <c r="G8" s="6">
        <f t="shared" si="1"/>
        <v>0</v>
      </c>
    </row>
    <row r="9" spans="1:7" x14ac:dyDescent="0.3">
      <c r="A9" s="4" t="s">
        <v>173</v>
      </c>
      <c r="B9" s="5">
        <v>60</v>
      </c>
      <c r="C9" s="5">
        <v>40</v>
      </c>
      <c r="D9" s="5">
        <v>1373</v>
      </c>
      <c r="E9" s="7">
        <f t="shared" si="0"/>
        <v>91.533333333333331</v>
      </c>
      <c r="F9" s="7">
        <v>14.54878700000001</v>
      </c>
      <c r="G9" s="6">
        <f t="shared" si="1"/>
        <v>0</v>
      </c>
    </row>
    <row r="10" spans="1:7" x14ac:dyDescent="0.3">
      <c r="A10" s="4" t="s">
        <v>173</v>
      </c>
      <c r="B10" s="5">
        <v>75</v>
      </c>
      <c r="C10" s="5">
        <v>40</v>
      </c>
      <c r="D10" s="5">
        <v>1416</v>
      </c>
      <c r="E10" s="7">
        <f t="shared" si="0"/>
        <v>94.4</v>
      </c>
      <c r="F10" s="7">
        <v>16.405281250000002</v>
      </c>
      <c r="G10" s="6">
        <f t="shared" si="1"/>
        <v>0</v>
      </c>
    </row>
    <row r="11" spans="1:7" x14ac:dyDescent="0.3">
      <c r="A11" s="4" t="s">
        <v>173</v>
      </c>
      <c r="B11" s="5">
        <v>90</v>
      </c>
      <c r="C11" s="5">
        <v>40</v>
      </c>
      <c r="D11" s="5">
        <v>1406</v>
      </c>
      <c r="E11" s="7">
        <f t="shared" si="0"/>
        <v>93.733333333333334</v>
      </c>
      <c r="F11" s="7">
        <v>15.004863</v>
      </c>
      <c r="G11" s="6">
        <f t="shared" si="1"/>
        <v>0</v>
      </c>
    </row>
    <row r="12" spans="1:7" x14ac:dyDescent="0.3">
      <c r="A12" s="4" t="s">
        <v>173</v>
      </c>
      <c r="B12" s="5">
        <v>105</v>
      </c>
      <c r="C12" s="5">
        <v>40</v>
      </c>
      <c r="D12" s="5">
        <v>1416</v>
      </c>
      <c r="E12" s="7">
        <f t="shared" si="0"/>
        <v>94.4</v>
      </c>
      <c r="F12" s="7">
        <v>14.1271415</v>
      </c>
      <c r="G12" s="6">
        <f t="shared" si="1"/>
        <v>0</v>
      </c>
    </row>
    <row r="13" spans="1:7" x14ac:dyDescent="0.3">
      <c r="A13" s="4" t="s">
        <v>173</v>
      </c>
      <c r="B13" s="5">
        <v>120</v>
      </c>
      <c r="C13" s="5">
        <v>40</v>
      </c>
      <c r="D13" s="5">
        <v>1404</v>
      </c>
      <c r="E13" s="7">
        <f t="shared" si="0"/>
        <v>93.6</v>
      </c>
      <c r="F13" s="7">
        <v>15.373167549999989</v>
      </c>
      <c r="G13" s="6">
        <f t="shared" si="1"/>
        <v>0</v>
      </c>
    </row>
    <row r="14" spans="1:7" x14ac:dyDescent="0.3">
      <c r="A14" s="4" t="s">
        <v>173</v>
      </c>
      <c r="B14" s="5">
        <v>135</v>
      </c>
      <c r="C14" s="5">
        <v>40</v>
      </c>
      <c r="D14" s="5">
        <v>1414</v>
      </c>
      <c r="E14" s="7">
        <f t="shared" si="0"/>
        <v>94.266666666666666</v>
      </c>
      <c r="F14" s="7">
        <v>14.070728849999981</v>
      </c>
      <c r="G14" s="6">
        <f t="shared" si="1"/>
        <v>0</v>
      </c>
    </row>
    <row r="15" spans="1:7" x14ac:dyDescent="0.3">
      <c r="A15" s="4" t="s">
        <v>173</v>
      </c>
      <c r="B15" s="5">
        <v>150</v>
      </c>
      <c r="C15" s="5">
        <v>40</v>
      </c>
      <c r="D15" s="5">
        <v>1399</v>
      </c>
      <c r="E15" s="7">
        <f t="shared" si="0"/>
        <v>93.266666666666666</v>
      </c>
      <c r="F15" s="7">
        <v>13.788808700000001</v>
      </c>
      <c r="G15" s="6">
        <f t="shared" si="1"/>
        <v>0</v>
      </c>
    </row>
    <row r="16" spans="1:7" x14ac:dyDescent="0.3">
      <c r="A16" s="4" t="s">
        <v>173</v>
      </c>
      <c r="B16" s="5">
        <v>165</v>
      </c>
      <c r="C16" s="5">
        <v>40</v>
      </c>
      <c r="D16" s="5">
        <v>1397</v>
      </c>
      <c r="E16" s="7">
        <f t="shared" si="0"/>
        <v>93.13333333333334</v>
      </c>
      <c r="F16" s="7">
        <v>13.7525038</v>
      </c>
      <c r="G16" s="6">
        <f t="shared" si="1"/>
        <v>0</v>
      </c>
    </row>
    <row r="17" spans="1:7" x14ac:dyDescent="0.3">
      <c r="A17" s="4" t="s">
        <v>173</v>
      </c>
      <c r="B17" s="5">
        <v>180</v>
      </c>
      <c r="C17" s="5">
        <v>40</v>
      </c>
      <c r="D17" s="5">
        <v>1426</v>
      </c>
      <c r="E17" s="7">
        <f t="shared" si="0"/>
        <v>95.066666666666663</v>
      </c>
      <c r="F17" s="7">
        <v>14.179361500000001</v>
      </c>
      <c r="G17" s="6">
        <f t="shared" si="1"/>
        <v>0</v>
      </c>
    </row>
    <row r="18" spans="1:7" x14ac:dyDescent="0.3">
      <c r="A18" s="4" t="s">
        <v>173</v>
      </c>
      <c r="B18" s="5">
        <v>195</v>
      </c>
      <c r="C18" s="5">
        <v>40</v>
      </c>
      <c r="D18" s="5">
        <v>1404</v>
      </c>
      <c r="E18" s="7">
        <f t="shared" si="0"/>
        <v>93.6</v>
      </c>
      <c r="F18" s="7">
        <v>14.025819</v>
      </c>
      <c r="G18" s="6">
        <f t="shared" si="1"/>
        <v>0</v>
      </c>
    </row>
    <row r="19" spans="1:7" x14ac:dyDescent="0.3">
      <c r="A19" s="4" t="s">
        <v>173</v>
      </c>
      <c r="B19" s="5">
        <v>210</v>
      </c>
      <c r="C19" s="5">
        <v>40</v>
      </c>
      <c r="D19" s="5">
        <v>1398</v>
      </c>
      <c r="E19" s="7">
        <f t="shared" si="0"/>
        <v>93.2</v>
      </c>
      <c r="F19" s="7">
        <v>14.52798275</v>
      </c>
      <c r="G19" s="6">
        <f t="shared" si="1"/>
        <v>0</v>
      </c>
    </row>
    <row r="20" spans="1:7" x14ac:dyDescent="0.3">
      <c r="A20" s="4" t="s">
        <v>173</v>
      </c>
      <c r="B20" s="5">
        <v>225</v>
      </c>
      <c r="C20" s="5">
        <v>40</v>
      </c>
      <c r="D20" s="5">
        <v>1353</v>
      </c>
      <c r="E20" s="7">
        <f t="shared" si="0"/>
        <v>90.2</v>
      </c>
      <c r="F20" s="7">
        <v>14.406549399999999</v>
      </c>
      <c r="G20" s="6">
        <f t="shared" si="1"/>
        <v>0</v>
      </c>
    </row>
    <row r="21" spans="1:7" x14ac:dyDescent="0.3">
      <c r="A21" s="4" t="s">
        <v>173</v>
      </c>
      <c r="B21" s="5">
        <v>240</v>
      </c>
      <c r="C21" s="5">
        <v>40</v>
      </c>
      <c r="D21" s="5">
        <v>1006</v>
      </c>
      <c r="E21" s="7">
        <f t="shared" si="0"/>
        <v>67.066666666666663</v>
      </c>
      <c r="F21" s="7">
        <v>15.58182375</v>
      </c>
      <c r="G21" s="6">
        <f t="shared" si="1"/>
        <v>0</v>
      </c>
    </row>
    <row r="22" spans="1:7" x14ac:dyDescent="0.3">
      <c r="A22" s="4" t="s">
        <v>173</v>
      </c>
      <c r="B22" s="5">
        <v>255</v>
      </c>
      <c r="C22" s="5">
        <v>19</v>
      </c>
      <c r="D22" s="5">
        <v>310</v>
      </c>
      <c r="E22" s="7">
        <f t="shared" si="0"/>
        <v>20.666666666666668</v>
      </c>
      <c r="F22" s="7">
        <v>16.390331100000001</v>
      </c>
      <c r="G22" s="6">
        <f t="shared" si="1"/>
        <v>0</v>
      </c>
    </row>
    <row r="24" spans="1:7" x14ac:dyDescent="0.3">
      <c r="A24" s="4" t="s">
        <v>174</v>
      </c>
      <c r="B24" s="5">
        <v>0</v>
      </c>
      <c r="C24" s="5">
        <v>14</v>
      </c>
      <c r="D24" s="5">
        <v>277</v>
      </c>
      <c r="E24" s="7">
        <f t="shared" ref="E24:E41" si="2">D24/15</f>
        <v>18.466666666666665</v>
      </c>
      <c r="F24" s="7">
        <v>14.9455306</v>
      </c>
      <c r="G24" s="6">
        <f t="shared" ref="G24:G41" si="3">IF(D24=0,0,0/D24)</f>
        <v>0</v>
      </c>
    </row>
    <row r="25" spans="1:7" x14ac:dyDescent="0.3">
      <c r="A25" s="4" t="s">
        <v>174</v>
      </c>
      <c r="B25" s="5">
        <v>15</v>
      </c>
      <c r="C25" s="5">
        <v>26</v>
      </c>
      <c r="D25" s="5">
        <v>716</v>
      </c>
      <c r="E25" s="7">
        <f t="shared" si="2"/>
        <v>47.733333333333334</v>
      </c>
      <c r="F25" s="7">
        <v>15.068382</v>
      </c>
      <c r="G25" s="6">
        <f t="shared" si="3"/>
        <v>0</v>
      </c>
    </row>
    <row r="26" spans="1:7" x14ac:dyDescent="0.3">
      <c r="A26" s="4" t="s">
        <v>174</v>
      </c>
      <c r="B26" s="5">
        <v>30</v>
      </c>
      <c r="C26" s="5">
        <v>38</v>
      </c>
      <c r="D26" s="5">
        <v>1162</v>
      </c>
      <c r="E26" s="7">
        <f t="shared" si="2"/>
        <v>77.466666666666669</v>
      </c>
      <c r="F26" s="7">
        <v>14.37036085000001</v>
      </c>
      <c r="G26" s="6">
        <f t="shared" si="3"/>
        <v>0</v>
      </c>
    </row>
    <row r="27" spans="1:7" x14ac:dyDescent="0.3">
      <c r="A27" s="4" t="s">
        <v>174</v>
      </c>
      <c r="B27" s="5">
        <v>45</v>
      </c>
      <c r="C27" s="5">
        <v>50</v>
      </c>
      <c r="D27" s="5">
        <v>1575</v>
      </c>
      <c r="E27" s="7">
        <f t="shared" si="2"/>
        <v>105</v>
      </c>
      <c r="F27" s="7">
        <v>15.0879017</v>
      </c>
      <c r="G27" s="6">
        <f t="shared" si="3"/>
        <v>0</v>
      </c>
    </row>
    <row r="28" spans="1:7" x14ac:dyDescent="0.3">
      <c r="A28" s="4" t="s">
        <v>174</v>
      </c>
      <c r="B28" s="5">
        <v>60</v>
      </c>
      <c r="C28" s="5">
        <v>64</v>
      </c>
      <c r="D28" s="5">
        <v>2038</v>
      </c>
      <c r="E28" s="7">
        <f t="shared" si="2"/>
        <v>135.86666666666667</v>
      </c>
      <c r="F28" s="7">
        <v>14.84499345</v>
      </c>
      <c r="G28" s="6">
        <f t="shared" si="3"/>
        <v>0</v>
      </c>
    </row>
    <row r="29" spans="1:7" x14ac:dyDescent="0.3">
      <c r="A29" s="4" t="s">
        <v>174</v>
      </c>
      <c r="B29" s="5">
        <v>75</v>
      </c>
      <c r="C29" s="5">
        <v>76</v>
      </c>
      <c r="D29" s="5">
        <v>2471</v>
      </c>
      <c r="E29" s="7">
        <f t="shared" si="2"/>
        <v>164.73333333333332</v>
      </c>
      <c r="F29" s="7">
        <v>14.240766000000001</v>
      </c>
      <c r="G29" s="6">
        <f t="shared" si="3"/>
        <v>0</v>
      </c>
    </row>
    <row r="30" spans="1:7" x14ac:dyDescent="0.3">
      <c r="A30" s="4" t="s">
        <v>174</v>
      </c>
      <c r="B30" s="5">
        <v>90</v>
      </c>
      <c r="C30" s="5">
        <v>88</v>
      </c>
      <c r="D30" s="5">
        <v>2919</v>
      </c>
      <c r="E30" s="7">
        <f t="shared" si="2"/>
        <v>194.6</v>
      </c>
      <c r="F30" s="7">
        <v>14.781071600000001</v>
      </c>
      <c r="G30" s="6">
        <f t="shared" si="3"/>
        <v>0</v>
      </c>
    </row>
    <row r="31" spans="1:7" x14ac:dyDescent="0.3">
      <c r="A31" s="4" t="s">
        <v>174</v>
      </c>
      <c r="B31" s="5">
        <v>105</v>
      </c>
      <c r="C31" s="5">
        <v>102</v>
      </c>
      <c r="D31" s="5">
        <v>3329</v>
      </c>
      <c r="E31" s="7">
        <f t="shared" si="2"/>
        <v>221.93333333333334</v>
      </c>
      <c r="F31" s="7">
        <v>14.595075599999999</v>
      </c>
      <c r="G31" s="6">
        <f t="shared" si="3"/>
        <v>0</v>
      </c>
    </row>
    <row r="32" spans="1:7" x14ac:dyDescent="0.3">
      <c r="A32" s="4" t="s">
        <v>174</v>
      </c>
      <c r="B32" s="5">
        <v>120</v>
      </c>
      <c r="C32" s="5">
        <v>128</v>
      </c>
      <c r="D32" s="5">
        <v>4122</v>
      </c>
      <c r="E32" s="7">
        <f t="shared" si="2"/>
        <v>274.8</v>
      </c>
      <c r="F32" s="7">
        <v>14.232244400000001</v>
      </c>
      <c r="G32" s="6">
        <f t="shared" si="3"/>
        <v>0</v>
      </c>
    </row>
    <row r="33" spans="1:7" x14ac:dyDescent="0.3">
      <c r="A33" s="4" t="s">
        <v>174</v>
      </c>
      <c r="B33" s="5">
        <v>135</v>
      </c>
      <c r="C33" s="5">
        <v>152</v>
      </c>
      <c r="D33" s="5">
        <v>4924</v>
      </c>
      <c r="E33" s="7">
        <f t="shared" si="2"/>
        <v>328.26666666666665</v>
      </c>
      <c r="F33" s="7">
        <v>15.7620846</v>
      </c>
      <c r="G33" s="6">
        <f t="shared" si="3"/>
        <v>0</v>
      </c>
    </row>
    <row r="34" spans="1:7" x14ac:dyDescent="0.3">
      <c r="A34" s="4" t="s">
        <v>174</v>
      </c>
      <c r="B34" s="5">
        <v>150</v>
      </c>
      <c r="C34" s="5">
        <v>178</v>
      </c>
      <c r="D34" s="5">
        <v>5930</v>
      </c>
      <c r="E34" s="7">
        <f t="shared" si="2"/>
        <v>395.33333333333331</v>
      </c>
      <c r="F34" s="7">
        <v>15.72674765</v>
      </c>
      <c r="G34" s="6">
        <f t="shared" si="3"/>
        <v>0</v>
      </c>
    </row>
    <row r="35" spans="1:7" x14ac:dyDescent="0.3">
      <c r="A35" s="4" t="s">
        <v>174</v>
      </c>
      <c r="B35" s="5">
        <v>165</v>
      </c>
      <c r="C35" s="5">
        <v>202</v>
      </c>
      <c r="D35" s="5">
        <v>6694</v>
      </c>
      <c r="E35" s="7">
        <f t="shared" si="2"/>
        <v>446.26666666666665</v>
      </c>
      <c r="F35" s="7">
        <v>17.330390550000018</v>
      </c>
      <c r="G35" s="6">
        <f t="shared" si="3"/>
        <v>0</v>
      </c>
    </row>
    <row r="36" spans="1:7" x14ac:dyDescent="0.3">
      <c r="A36" s="4" t="s">
        <v>174</v>
      </c>
      <c r="B36" s="5">
        <v>180</v>
      </c>
      <c r="C36" s="5">
        <v>228</v>
      </c>
      <c r="D36" s="5">
        <v>7470</v>
      </c>
      <c r="E36" s="7">
        <f t="shared" si="2"/>
        <v>498</v>
      </c>
      <c r="F36" s="7">
        <v>17.838431849999999</v>
      </c>
      <c r="G36" s="6">
        <f t="shared" si="3"/>
        <v>0</v>
      </c>
    </row>
    <row r="37" spans="1:7" x14ac:dyDescent="0.3">
      <c r="A37" s="4" t="s">
        <v>174</v>
      </c>
      <c r="B37" s="5">
        <v>195</v>
      </c>
      <c r="C37" s="5">
        <v>252</v>
      </c>
      <c r="D37" s="5">
        <v>8485</v>
      </c>
      <c r="E37" s="7">
        <f t="shared" si="2"/>
        <v>565.66666666666663</v>
      </c>
      <c r="F37" s="7">
        <v>20.006745200000001</v>
      </c>
      <c r="G37" s="6">
        <f t="shared" si="3"/>
        <v>0</v>
      </c>
    </row>
    <row r="38" spans="1:7" x14ac:dyDescent="0.3">
      <c r="A38" s="4" t="s">
        <v>174</v>
      </c>
      <c r="B38" s="5">
        <v>210</v>
      </c>
      <c r="C38" s="5">
        <v>278</v>
      </c>
      <c r="D38" s="5">
        <v>9296</v>
      </c>
      <c r="E38" s="7">
        <f t="shared" si="2"/>
        <v>619.73333333333335</v>
      </c>
      <c r="F38" s="7">
        <v>32.3690335</v>
      </c>
      <c r="G38" s="6">
        <f t="shared" si="3"/>
        <v>0</v>
      </c>
    </row>
    <row r="39" spans="1:7" x14ac:dyDescent="0.3">
      <c r="A39" s="4" t="s">
        <v>174</v>
      </c>
      <c r="B39" s="5">
        <v>225</v>
      </c>
      <c r="C39" s="5">
        <v>300</v>
      </c>
      <c r="D39" s="5">
        <v>10054</v>
      </c>
      <c r="E39" s="7">
        <f t="shared" si="2"/>
        <v>670.26666666666665</v>
      </c>
      <c r="F39" s="7">
        <v>29.108220550000009</v>
      </c>
      <c r="G39" s="6">
        <f t="shared" si="3"/>
        <v>0</v>
      </c>
    </row>
    <row r="40" spans="1:7" x14ac:dyDescent="0.3">
      <c r="A40" s="4" t="s">
        <v>174</v>
      </c>
      <c r="B40" s="5">
        <v>240</v>
      </c>
      <c r="C40" s="5">
        <v>291</v>
      </c>
      <c r="D40" s="5">
        <v>7389</v>
      </c>
      <c r="E40" s="7">
        <f t="shared" si="2"/>
        <v>492.6</v>
      </c>
      <c r="F40" s="7">
        <v>24.011318800000009</v>
      </c>
      <c r="G40" s="6">
        <f t="shared" si="3"/>
        <v>0</v>
      </c>
    </row>
    <row r="41" spans="1:7" x14ac:dyDescent="0.3">
      <c r="A41" s="4" t="s">
        <v>174</v>
      </c>
      <c r="B41" s="5">
        <v>255</v>
      </c>
      <c r="C41" s="5">
        <v>136</v>
      </c>
      <c r="D41" s="5">
        <v>2264</v>
      </c>
      <c r="E41" s="7">
        <f t="shared" si="2"/>
        <v>150.93333333333334</v>
      </c>
      <c r="F41" s="7">
        <v>15.177917150000001</v>
      </c>
      <c r="G41" s="6">
        <f t="shared" si="3"/>
        <v>0</v>
      </c>
    </row>
    <row r="43" spans="1:7" x14ac:dyDescent="0.3">
      <c r="A43" s="4" t="s">
        <v>175</v>
      </c>
      <c r="B43" s="5">
        <v>0</v>
      </c>
      <c r="C43" s="5">
        <v>6</v>
      </c>
      <c r="D43" s="5">
        <v>115</v>
      </c>
      <c r="E43" s="7">
        <f t="shared" ref="E43:E51" si="4">D43/15</f>
        <v>7.666666666666667</v>
      </c>
      <c r="F43" s="7">
        <v>16.779943200000002</v>
      </c>
      <c r="G43" s="6">
        <f t="shared" ref="G43:G51" si="5">IF(D43=0,0,0/D43)</f>
        <v>0</v>
      </c>
    </row>
    <row r="44" spans="1:7" x14ac:dyDescent="0.3">
      <c r="A44" s="4" t="s">
        <v>175</v>
      </c>
      <c r="B44" s="5">
        <v>15</v>
      </c>
      <c r="C44" s="5">
        <v>152</v>
      </c>
      <c r="D44" s="5">
        <v>1558</v>
      </c>
      <c r="E44" s="7">
        <f t="shared" si="4"/>
        <v>103.86666666666666</v>
      </c>
      <c r="F44" s="7">
        <v>15.8688959</v>
      </c>
      <c r="G44" s="6">
        <f t="shared" si="5"/>
        <v>0</v>
      </c>
    </row>
    <row r="45" spans="1:7" x14ac:dyDescent="0.3">
      <c r="A45" s="4" t="s">
        <v>175</v>
      </c>
      <c r="B45" s="5">
        <v>30</v>
      </c>
      <c r="C45" s="5">
        <v>300</v>
      </c>
      <c r="D45" s="5">
        <v>9916</v>
      </c>
      <c r="E45" s="7">
        <f t="shared" si="4"/>
        <v>661.06666666666672</v>
      </c>
      <c r="F45" s="7">
        <v>34.147698000000013</v>
      </c>
      <c r="G45" s="6">
        <f t="shared" si="5"/>
        <v>0</v>
      </c>
    </row>
    <row r="46" spans="1:7" x14ac:dyDescent="0.3">
      <c r="A46" s="4" t="s">
        <v>175</v>
      </c>
      <c r="B46" s="5">
        <v>45</v>
      </c>
      <c r="C46" s="5">
        <v>300</v>
      </c>
      <c r="D46" s="5">
        <v>10254</v>
      </c>
      <c r="E46" s="7">
        <f t="shared" si="4"/>
        <v>683.6</v>
      </c>
      <c r="F46" s="7">
        <v>35.783012449999987</v>
      </c>
      <c r="G46" s="6">
        <f t="shared" si="5"/>
        <v>0</v>
      </c>
    </row>
    <row r="47" spans="1:7" x14ac:dyDescent="0.3">
      <c r="A47" s="4" t="s">
        <v>175</v>
      </c>
      <c r="B47" s="5">
        <v>60</v>
      </c>
      <c r="C47" s="5">
        <v>300</v>
      </c>
      <c r="D47" s="5">
        <v>10263</v>
      </c>
      <c r="E47" s="7">
        <f t="shared" si="4"/>
        <v>684.2</v>
      </c>
      <c r="F47" s="7">
        <v>38.835415900000001</v>
      </c>
      <c r="G47" s="6">
        <f t="shared" si="5"/>
        <v>0</v>
      </c>
    </row>
    <row r="48" spans="1:7" x14ac:dyDescent="0.3">
      <c r="A48" s="4" t="s">
        <v>175</v>
      </c>
      <c r="B48" s="5">
        <v>75</v>
      </c>
      <c r="C48" s="5">
        <v>298</v>
      </c>
      <c r="D48" s="5">
        <v>4048</v>
      </c>
      <c r="E48" s="7">
        <f t="shared" si="4"/>
        <v>269.86666666666667</v>
      </c>
      <c r="F48" s="7">
        <v>31.870849800000009</v>
      </c>
      <c r="G48" s="6">
        <f t="shared" si="5"/>
        <v>0</v>
      </c>
    </row>
    <row r="49" spans="1:7" x14ac:dyDescent="0.3">
      <c r="A49" s="4" t="s">
        <v>175</v>
      </c>
      <c r="B49" s="5">
        <v>90</v>
      </c>
      <c r="C49" s="5">
        <v>10</v>
      </c>
      <c r="D49" s="5">
        <v>347</v>
      </c>
      <c r="E49" s="7">
        <f t="shared" si="4"/>
        <v>23.133333333333333</v>
      </c>
      <c r="F49" s="7">
        <v>14.269855099999999</v>
      </c>
      <c r="G49" s="6">
        <f t="shared" si="5"/>
        <v>0</v>
      </c>
    </row>
    <row r="50" spans="1:7" x14ac:dyDescent="0.3">
      <c r="A50" s="4" t="s">
        <v>175</v>
      </c>
      <c r="B50" s="5">
        <v>105</v>
      </c>
      <c r="C50" s="5">
        <v>10</v>
      </c>
      <c r="D50" s="5">
        <v>364</v>
      </c>
      <c r="E50" s="7">
        <f t="shared" si="4"/>
        <v>24.266666666666666</v>
      </c>
      <c r="F50" s="7">
        <v>16.926115150000012</v>
      </c>
      <c r="G50" s="6">
        <f t="shared" si="5"/>
        <v>0</v>
      </c>
    </row>
    <row r="51" spans="1:7" x14ac:dyDescent="0.3">
      <c r="A51" s="4" t="s">
        <v>175</v>
      </c>
      <c r="B51" s="5">
        <v>120</v>
      </c>
      <c r="C51" s="5">
        <v>10</v>
      </c>
      <c r="D51" s="5">
        <v>127</v>
      </c>
      <c r="E51" s="7">
        <f t="shared" si="4"/>
        <v>8.4666666666666668</v>
      </c>
      <c r="F51" s="7">
        <v>15.5555302</v>
      </c>
      <c r="G51" s="6">
        <f t="shared" si="5"/>
        <v>0</v>
      </c>
    </row>
    <row r="53" spans="1:7" x14ac:dyDescent="0.3">
      <c r="A53" s="4" t="s">
        <v>176</v>
      </c>
      <c r="B53" s="5">
        <v>0</v>
      </c>
      <c r="C53" s="5">
        <v>1</v>
      </c>
      <c r="D53" s="5">
        <v>6</v>
      </c>
      <c r="E53" s="7">
        <f t="shared" ref="E53:E66" si="6">D53/15</f>
        <v>0.4</v>
      </c>
      <c r="F53" s="7">
        <v>1923.6689305</v>
      </c>
      <c r="G53" s="6">
        <f t="shared" ref="G53:G66" si="7">IF(D53=0,0,0/D53)</f>
        <v>0</v>
      </c>
    </row>
    <row r="54" spans="1:7" x14ac:dyDescent="0.3">
      <c r="A54" s="4" t="s">
        <v>176</v>
      </c>
      <c r="B54" s="5">
        <v>15</v>
      </c>
      <c r="C54" s="5">
        <v>1</v>
      </c>
      <c r="D54" s="5">
        <v>5</v>
      </c>
      <c r="E54" s="7">
        <f t="shared" si="6"/>
        <v>0.33333333333333331</v>
      </c>
      <c r="F54" s="7">
        <v>1919.7456706</v>
      </c>
      <c r="G54" s="6">
        <f t="shared" si="7"/>
        <v>0</v>
      </c>
    </row>
    <row r="55" spans="1:7" x14ac:dyDescent="0.3">
      <c r="A55" s="4" t="s">
        <v>176</v>
      </c>
      <c r="B55" s="5">
        <v>30</v>
      </c>
      <c r="C55" s="5">
        <v>1</v>
      </c>
      <c r="D55" s="5">
        <v>5</v>
      </c>
      <c r="E55" s="7">
        <f t="shared" si="6"/>
        <v>0.33333333333333331</v>
      </c>
      <c r="F55" s="7">
        <v>1957.4091182</v>
      </c>
      <c r="G55" s="6">
        <f t="shared" si="7"/>
        <v>0</v>
      </c>
    </row>
    <row r="56" spans="1:7" x14ac:dyDescent="0.3">
      <c r="A56" s="4" t="s">
        <v>176</v>
      </c>
      <c r="B56" s="5">
        <v>45</v>
      </c>
      <c r="C56" s="5">
        <v>1</v>
      </c>
      <c r="D56" s="5">
        <v>5</v>
      </c>
      <c r="E56" s="7">
        <f t="shared" si="6"/>
        <v>0.33333333333333331</v>
      </c>
      <c r="F56" s="7">
        <v>1924.392067</v>
      </c>
      <c r="G56" s="6">
        <f t="shared" si="7"/>
        <v>0</v>
      </c>
    </row>
    <row r="57" spans="1:7" x14ac:dyDescent="0.3">
      <c r="A57" s="4" t="s">
        <v>176</v>
      </c>
      <c r="B57" s="5">
        <v>60</v>
      </c>
      <c r="C57" s="5">
        <v>3</v>
      </c>
      <c r="D57" s="5">
        <v>14</v>
      </c>
      <c r="E57" s="7">
        <f t="shared" si="6"/>
        <v>0.93333333333333335</v>
      </c>
      <c r="F57" s="7">
        <v>1838.8412486</v>
      </c>
      <c r="G57" s="6">
        <f t="shared" si="7"/>
        <v>0</v>
      </c>
    </row>
    <row r="58" spans="1:7" x14ac:dyDescent="0.3">
      <c r="A58" s="4" t="s">
        <v>176</v>
      </c>
      <c r="B58" s="5">
        <v>75</v>
      </c>
      <c r="C58" s="5">
        <v>3</v>
      </c>
      <c r="D58" s="5">
        <v>19</v>
      </c>
      <c r="E58" s="7">
        <f t="shared" si="6"/>
        <v>1.2666666666666666</v>
      </c>
      <c r="F58" s="7">
        <v>1480.7006721</v>
      </c>
      <c r="G58" s="6">
        <f t="shared" si="7"/>
        <v>0</v>
      </c>
    </row>
    <row r="59" spans="1:7" x14ac:dyDescent="0.3">
      <c r="A59" s="4" t="s">
        <v>176</v>
      </c>
      <c r="B59" s="5">
        <v>90</v>
      </c>
      <c r="C59" s="5">
        <v>3</v>
      </c>
      <c r="D59" s="5">
        <v>20</v>
      </c>
      <c r="E59" s="7">
        <f t="shared" si="6"/>
        <v>1.3333333333333333</v>
      </c>
      <c r="F59" s="7">
        <v>1440.8605983499999</v>
      </c>
      <c r="G59" s="6">
        <f t="shared" si="7"/>
        <v>0</v>
      </c>
    </row>
    <row r="60" spans="1:7" x14ac:dyDescent="0.3">
      <c r="A60" s="4" t="s">
        <v>176</v>
      </c>
      <c r="B60" s="5">
        <v>105</v>
      </c>
      <c r="C60" s="5">
        <v>3</v>
      </c>
      <c r="D60" s="5">
        <v>18</v>
      </c>
      <c r="E60" s="7">
        <f t="shared" si="6"/>
        <v>1.2</v>
      </c>
      <c r="F60" s="7">
        <v>1440.3119835499999</v>
      </c>
      <c r="G60" s="6">
        <f t="shared" si="7"/>
        <v>0</v>
      </c>
    </row>
    <row r="61" spans="1:7" x14ac:dyDescent="0.3">
      <c r="A61" s="4" t="s">
        <v>176</v>
      </c>
      <c r="B61" s="5">
        <v>120</v>
      </c>
      <c r="C61" s="5">
        <v>4</v>
      </c>
      <c r="D61" s="5">
        <v>21</v>
      </c>
      <c r="E61" s="7">
        <f t="shared" si="6"/>
        <v>1.4</v>
      </c>
      <c r="F61" s="7">
        <v>1423.107548</v>
      </c>
      <c r="G61" s="6">
        <f t="shared" si="7"/>
        <v>0</v>
      </c>
    </row>
    <row r="62" spans="1:7" x14ac:dyDescent="0.3">
      <c r="A62" s="4" t="s">
        <v>176</v>
      </c>
      <c r="B62" s="5">
        <v>135</v>
      </c>
      <c r="C62" s="5">
        <v>5</v>
      </c>
      <c r="D62" s="5">
        <v>31</v>
      </c>
      <c r="E62" s="7">
        <f t="shared" si="6"/>
        <v>2.0666666666666669</v>
      </c>
      <c r="F62" s="7">
        <v>1440.2803739999999</v>
      </c>
      <c r="G62" s="6">
        <f t="shared" si="7"/>
        <v>0</v>
      </c>
    </row>
    <row r="63" spans="1:7" x14ac:dyDescent="0.3">
      <c r="A63" s="4" t="s">
        <v>176</v>
      </c>
      <c r="B63" s="5">
        <v>150</v>
      </c>
      <c r="C63" s="5">
        <v>5</v>
      </c>
      <c r="D63" s="5">
        <v>35</v>
      </c>
      <c r="E63" s="7">
        <f t="shared" si="6"/>
        <v>2.3333333333333335</v>
      </c>
      <c r="F63" s="7">
        <v>1527.7233271</v>
      </c>
      <c r="G63" s="6">
        <f t="shared" si="7"/>
        <v>0</v>
      </c>
    </row>
    <row r="64" spans="1:7" x14ac:dyDescent="0.3">
      <c r="A64" s="4" t="s">
        <v>176</v>
      </c>
      <c r="B64" s="5">
        <v>165</v>
      </c>
      <c r="C64" s="5">
        <v>5</v>
      </c>
      <c r="D64" s="5">
        <v>33</v>
      </c>
      <c r="E64" s="7">
        <f t="shared" si="6"/>
        <v>2.2000000000000002</v>
      </c>
      <c r="F64" s="7">
        <v>1418.9528803999999</v>
      </c>
      <c r="G64" s="6">
        <f t="shared" si="7"/>
        <v>0</v>
      </c>
    </row>
    <row r="65" spans="1:7" x14ac:dyDescent="0.3">
      <c r="A65" s="4" t="s">
        <v>176</v>
      </c>
      <c r="B65" s="5">
        <v>180</v>
      </c>
      <c r="C65" s="5">
        <v>5</v>
      </c>
      <c r="D65" s="5">
        <v>32</v>
      </c>
      <c r="E65" s="7">
        <f t="shared" si="6"/>
        <v>2.1333333333333333</v>
      </c>
      <c r="F65" s="7">
        <v>1437.26217425</v>
      </c>
      <c r="G65" s="6">
        <f t="shared" si="7"/>
        <v>0</v>
      </c>
    </row>
    <row r="66" spans="1:7" x14ac:dyDescent="0.3">
      <c r="A66" s="4" t="s">
        <v>176</v>
      </c>
      <c r="B66" s="5">
        <v>195</v>
      </c>
      <c r="C66" s="5">
        <v>5</v>
      </c>
      <c r="D66" s="5">
        <v>10</v>
      </c>
      <c r="E66" s="7">
        <f t="shared" si="6"/>
        <v>0.66666666666666663</v>
      </c>
      <c r="F66" s="7">
        <v>1845.3946392</v>
      </c>
      <c r="G66" s="6">
        <f t="shared" si="7"/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154"/>
  <sheetViews>
    <sheetView showGridLines="0" workbookViewId="0"/>
  </sheetViews>
  <sheetFormatPr defaultRowHeight="14.4" x14ac:dyDescent="0.3"/>
  <cols>
    <col min="1" max="2" width="10" customWidth="1"/>
    <col min="3" max="3" width="12" customWidth="1"/>
    <col min="4" max="4" width="13" customWidth="1"/>
    <col min="5" max="5" width="11" customWidth="1"/>
    <col min="6" max="6" width="13" customWidth="1"/>
  </cols>
  <sheetData>
    <row r="1" spans="1:6" ht="17.399999999999999" x14ac:dyDescent="0.3">
      <c r="A1" s="1" t="s">
        <v>186</v>
      </c>
    </row>
    <row r="2" spans="1:6" x14ac:dyDescent="0.3">
      <c r="A2" s="2" t="s">
        <v>187</v>
      </c>
    </row>
    <row r="4" spans="1:6" ht="31.95" customHeight="1" x14ac:dyDescent="0.3">
      <c r="A4" s="3" t="s">
        <v>2</v>
      </c>
      <c r="B4" s="3" t="s">
        <v>181</v>
      </c>
      <c r="C4" s="3" t="s">
        <v>188</v>
      </c>
      <c r="D4" s="3" t="s">
        <v>189</v>
      </c>
      <c r="E4" s="3" t="s">
        <v>190</v>
      </c>
      <c r="F4" s="3" t="s">
        <v>191</v>
      </c>
    </row>
    <row r="5" spans="1:6" x14ac:dyDescent="0.3">
      <c r="A5" s="4" t="s">
        <v>157</v>
      </c>
      <c r="B5" s="5">
        <v>0</v>
      </c>
      <c r="C5" s="22">
        <v>0.2</v>
      </c>
      <c r="D5" s="5">
        <v>148</v>
      </c>
      <c r="E5" s="22">
        <v>1.43</v>
      </c>
      <c r="F5" s="5">
        <v>309</v>
      </c>
    </row>
    <row r="6" spans="1:6" x14ac:dyDescent="0.3">
      <c r="A6" s="4" t="s">
        <v>157</v>
      </c>
      <c r="B6" s="5">
        <v>7</v>
      </c>
      <c r="C6" s="22">
        <v>0.2</v>
      </c>
      <c r="D6" s="5">
        <v>155</v>
      </c>
      <c r="E6" s="22">
        <v>0.96</v>
      </c>
      <c r="F6" s="5">
        <v>312</v>
      </c>
    </row>
    <row r="7" spans="1:6" x14ac:dyDescent="0.3">
      <c r="A7" s="4" t="s">
        <v>157</v>
      </c>
      <c r="B7" s="5">
        <v>13</v>
      </c>
      <c r="C7" s="22">
        <v>0.2</v>
      </c>
      <c r="D7" s="5">
        <v>160</v>
      </c>
      <c r="E7" s="22">
        <v>2.44</v>
      </c>
      <c r="F7" s="5">
        <v>313</v>
      </c>
    </row>
    <row r="8" spans="1:6" x14ac:dyDescent="0.3">
      <c r="A8" s="4" t="s">
        <v>157</v>
      </c>
      <c r="B8" s="5">
        <v>19</v>
      </c>
      <c r="C8" s="22">
        <v>0.2</v>
      </c>
      <c r="D8" s="5">
        <v>160</v>
      </c>
      <c r="E8" s="22">
        <v>0.65</v>
      </c>
      <c r="F8" s="5">
        <v>315</v>
      </c>
    </row>
    <row r="9" spans="1:6" x14ac:dyDescent="0.3">
      <c r="A9" s="4" t="s">
        <v>157</v>
      </c>
      <c r="B9" s="5">
        <v>26</v>
      </c>
      <c r="C9" s="22">
        <v>0</v>
      </c>
      <c r="D9" s="5">
        <v>165</v>
      </c>
      <c r="E9" s="22">
        <v>0.01</v>
      </c>
      <c r="F9" s="5">
        <v>312</v>
      </c>
    </row>
    <row r="11" spans="1:6" x14ac:dyDescent="0.3">
      <c r="A11" s="4" t="s">
        <v>173</v>
      </c>
      <c r="B11" s="5">
        <v>0</v>
      </c>
      <c r="C11" s="22">
        <v>0.1</v>
      </c>
      <c r="D11" s="5">
        <v>173</v>
      </c>
      <c r="E11" s="22">
        <v>3.79</v>
      </c>
      <c r="F11" s="5">
        <v>316</v>
      </c>
    </row>
    <row r="12" spans="1:6" x14ac:dyDescent="0.3">
      <c r="A12" s="4" t="s">
        <v>173</v>
      </c>
      <c r="B12" s="5">
        <v>6</v>
      </c>
      <c r="C12" s="22">
        <v>0.4</v>
      </c>
      <c r="D12" s="5">
        <v>172</v>
      </c>
      <c r="E12" s="22">
        <v>1.72</v>
      </c>
      <c r="F12" s="5">
        <v>321</v>
      </c>
    </row>
    <row r="13" spans="1:6" x14ac:dyDescent="0.3">
      <c r="A13" s="4" t="s">
        <v>173</v>
      </c>
      <c r="B13" s="5">
        <v>13</v>
      </c>
      <c r="C13" s="22">
        <v>0.6</v>
      </c>
      <c r="D13" s="5">
        <v>177</v>
      </c>
      <c r="E13" s="22">
        <v>2.56</v>
      </c>
      <c r="F13" s="5">
        <v>322</v>
      </c>
    </row>
    <row r="14" spans="1:6" x14ac:dyDescent="0.3">
      <c r="A14" s="4" t="s">
        <v>173</v>
      </c>
      <c r="B14" s="5">
        <v>19</v>
      </c>
      <c r="C14" s="22">
        <v>0.9</v>
      </c>
      <c r="D14" s="5">
        <v>183</v>
      </c>
      <c r="E14" s="22">
        <v>2.2200000000000002</v>
      </c>
      <c r="F14" s="5">
        <v>327</v>
      </c>
    </row>
    <row r="15" spans="1:6" x14ac:dyDescent="0.3">
      <c r="A15" s="4" t="s">
        <v>173</v>
      </c>
      <c r="B15" s="5">
        <v>25</v>
      </c>
      <c r="C15" s="22">
        <v>1.2</v>
      </c>
      <c r="D15" s="5">
        <v>183</v>
      </c>
      <c r="E15" s="22">
        <v>3.9</v>
      </c>
      <c r="F15" s="5">
        <v>330</v>
      </c>
    </row>
    <row r="16" spans="1:6" x14ac:dyDescent="0.3">
      <c r="A16" s="4" t="s">
        <v>173</v>
      </c>
      <c r="B16" s="5">
        <v>32</v>
      </c>
      <c r="C16" s="22">
        <v>1.3</v>
      </c>
      <c r="D16" s="5">
        <v>187</v>
      </c>
      <c r="E16" s="22">
        <v>4.49</v>
      </c>
      <c r="F16" s="5">
        <v>334</v>
      </c>
    </row>
    <row r="17" spans="1:6" x14ac:dyDescent="0.3">
      <c r="A17" s="4" t="s">
        <v>173</v>
      </c>
      <c r="B17" s="5">
        <v>38</v>
      </c>
      <c r="C17" s="22">
        <v>1.5</v>
      </c>
      <c r="D17" s="5">
        <v>188</v>
      </c>
      <c r="E17" s="22">
        <v>5.07</v>
      </c>
      <c r="F17" s="5">
        <v>353</v>
      </c>
    </row>
    <row r="18" spans="1:6" x14ac:dyDescent="0.3">
      <c r="A18" s="4" t="s">
        <v>173</v>
      </c>
      <c r="B18" s="5">
        <v>44</v>
      </c>
      <c r="C18" s="22">
        <v>1.8</v>
      </c>
      <c r="D18" s="5">
        <v>189</v>
      </c>
      <c r="E18" s="22">
        <v>4.57</v>
      </c>
      <c r="F18" s="5">
        <v>357</v>
      </c>
    </row>
    <row r="19" spans="1:6" x14ac:dyDescent="0.3">
      <c r="A19" s="4" t="s">
        <v>173</v>
      </c>
      <c r="B19" s="5">
        <v>51</v>
      </c>
      <c r="C19" s="22">
        <v>1.7</v>
      </c>
      <c r="D19" s="5">
        <v>191</v>
      </c>
      <c r="E19" s="22">
        <v>7.48</v>
      </c>
      <c r="F19" s="5">
        <v>357</v>
      </c>
    </row>
    <row r="20" spans="1:6" x14ac:dyDescent="0.3">
      <c r="A20" s="4" t="s">
        <v>173</v>
      </c>
      <c r="B20" s="5">
        <v>57</v>
      </c>
      <c r="C20" s="22">
        <v>2.2000000000000002</v>
      </c>
      <c r="D20" s="5">
        <v>195</v>
      </c>
      <c r="E20" s="22">
        <v>4.3499999999999996</v>
      </c>
      <c r="F20" s="5">
        <v>358</v>
      </c>
    </row>
    <row r="21" spans="1:6" x14ac:dyDescent="0.3">
      <c r="A21" s="4" t="s">
        <v>173</v>
      </c>
      <c r="B21" s="5">
        <v>63</v>
      </c>
      <c r="C21" s="22">
        <v>2</v>
      </c>
      <c r="D21" s="5">
        <v>195</v>
      </c>
      <c r="E21" s="22">
        <v>5.22</v>
      </c>
      <c r="F21" s="5">
        <v>358</v>
      </c>
    </row>
    <row r="22" spans="1:6" x14ac:dyDescent="0.3">
      <c r="A22" s="4" t="s">
        <v>173</v>
      </c>
      <c r="B22" s="5">
        <v>69</v>
      </c>
      <c r="C22" s="22">
        <v>2</v>
      </c>
      <c r="D22" s="5">
        <v>198</v>
      </c>
      <c r="E22" s="22">
        <v>4.1399999999999997</v>
      </c>
      <c r="F22" s="5">
        <v>358</v>
      </c>
    </row>
    <row r="23" spans="1:6" x14ac:dyDescent="0.3">
      <c r="A23" s="4" t="s">
        <v>173</v>
      </c>
      <c r="B23" s="5">
        <v>75</v>
      </c>
      <c r="C23" s="22">
        <v>2.2000000000000002</v>
      </c>
      <c r="D23" s="5">
        <v>200</v>
      </c>
      <c r="E23" s="22">
        <v>9.25</v>
      </c>
      <c r="F23" s="5">
        <v>358</v>
      </c>
    </row>
    <row r="24" spans="1:6" x14ac:dyDescent="0.3">
      <c r="A24" s="4" t="s">
        <v>173</v>
      </c>
      <c r="B24" s="5">
        <v>82</v>
      </c>
      <c r="C24" s="22">
        <v>2.1</v>
      </c>
      <c r="D24" s="5">
        <v>202</v>
      </c>
      <c r="E24" s="22">
        <v>4.53</v>
      </c>
      <c r="F24" s="5">
        <v>358</v>
      </c>
    </row>
    <row r="25" spans="1:6" x14ac:dyDescent="0.3">
      <c r="A25" s="4" t="s">
        <v>173</v>
      </c>
      <c r="B25" s="5">
        <v>88</v>
      </c>
      <c r="C25" s="22">
        <v>1.6</v>
      </c>
      <c r="D25" s="5">
        <v>208</v>
      </c>
      <c r="E25" s="22">
        <v>5.05</v>
      </c>
      <c r="F25" s="5">
        <v>358</v>
      </c>
    </row>
    <row r="26" spans="1:6" x14ac:dyDescent="0.3">
      <c r="A26" s="4" t="s">
        <v>173</v>
      </c>
      <c r="B26" s="5">
        <v>94</v>
      </c>
      <c r="C26" s="22">
        <v>1.8</v>
      </c>
      <c r="D26" s="5">
        <v>209</v>
      </c>
      <c r="E26" s="22">
        <v>5.01</v>
      </c>
      <c r="F26" s="5">
        <v>358</v>
      </c>
    </row>
    <row r="27" spans="1:6" x14ac:dyDescent="0.3">
      <c r="A27" s="4" t="s">
        <v>173</v>
      </c>
      <c r="B27" s="5">
        <v>101</v>
      </c>
      <c r="C27" s="22">
        <v>2</v>
      </c>
      <c r="D27" s="5">
        <v>208</v>
      </c>
      <c r="E27" s="22">
        <v>7.33</v>
      </c>
      <c r="F27" s="5">
        <v>358</v>
      </c>
    </row>
    <row r="28" spans="1:6" x14ac:dyDescent="0.3">
      <c r="A28" s="4" t="s">
        <v>173</v>
      </c>
      <c r="B28" s="5">
        <v>107</v>
      </c>
      <c r="C28" s="22">
        <v>2</v>
      </c>
      <c r="D28" s="5">
        <v>208</v>
      </c>
      <c r="E28" s="22">
        <v>4.58</v>
      </c>
      <c r="F28" s="5">
        <v>358</v>
      </c>
    </row>
    <row r="29" spans="1:6" x14ac:dyDescent="0.3">
      <c r="A29" s="4" t="s">
        <v>173</v>
      </c>
      <c r="B29" s="5">
        <v>113</v>
      </c>
      <c r="C29" s="22">
        <v>1.9</v>
      </c>
      <c r="D29" s="5">
        <v>209</v>
      </c>
      <c r="E29" s="22">
        <v>5.04</v>
      </c>
      <c r="F29" s="5">
        <v>359</v>
      </c>
    </row>
    <row r="30" spans="1:6" x14ac:dyDescent="0.3">
      <c r="A30" s="4" t="s">
        <v>173</v>
      </c>
      <c r="B30" s="5">
        <v>119</v>
      </c>
      <c r="C30" s="22">
        <v>1.8</v>
      </c>
      <c r="D30" s="5">
        <v>207</v>
      </c>
      <c r="E30" s="22">
        <v>6.19</v>
      </c>
      <c r="F30" s="5">
        <v>369</v>
      </c>
    </row>
    <row r="31" spans="1:6" x14ac:dyDescent="0.3">
      <c r="A31" s="4" t="s">
        <v>173</v>
      </c>
      <c r="B31" s="5">
        <v>125</v>
      </c>
      <c r="C31" s="22">
        <v>1.8</v>
      </c>
      <c r="D31" s="5">
        <v>209</v>
      </c>
      <c r="E31" s="22">
        <v>6.82</v>
      </c>
      <c r="F31" s="5">
        <v>369</v>
      </c>
    </row>
    <row r="32" spans="1:6" x14ac:dyDescent="0.3">
      <c r="A32" s="4" t="s">
        <v>173</v>
      </c>
      <c r="B32" s="5">
        <v>132</v>
      </c>
      <c r="C32" s="22">
        <v>1.8</v>
      </c>
      <c r="D32" s="5">
        <v>209</v>
      </c>
      <c r="E32" s="22">
        <v>3.25</v>
      </c>
      <c r="F32" s="5">
        <v>369</v>
      </c>
    </row>
    <row r="33" spans="1:6" x14ac:dyDescent="0.3">
      <c r="A33" s="4" t="s">
        <v>173</v>
      </c>
      <c r="B33" s="5">
        <v>138</v>
      </c>
      <c r="C33" s="22">
        <v>1.7</v>
      </c>
      <c r="D33" s="5">
        <v>210</v>
      </c>
      <c r="E33" s="22">
        <v>4.28</v>
      </c>
      <c r="F33" s="5">
        <v>370</v>
      </c>
    </row>
    <row r="34" spans="1:6" x14ac:dyDescent="0.3">
      <c r="A34" s="4" t="s">
        <v>173</v>
      </c>
      <c r="B34" s="5">
        <v>144</v>
      </c>
      <c r="C34" s="22">
        <v>1.8</v>
      </c>
      <c r="D34" s="5">
        <v>208</v>
      </c>
      <c r="E34" s="22">
        <v>4.8</v>
      </c>
      <c r="F34" s="5">
        <v>370</v>
      </c>
    </row>
    <row r="35" spans="1:6" x14ac:dyDescent="0.3">
      <c r="A35" s="4" t="s">
        <v>173</v>
      </c>
      <c r="B35" s="5">
        <v>151</v>
      </c>
      <c r="C35" s="22">
        <v>1.9</v>
      </c>
      <c r="D35" s="5">
        <v>209</v>
      </c>
      <c r="E35" s="22">
        <v>5.35</v>
      </c>
      <c r="F35" s="5">
        <v>245</v>
      </c>
    </row>
    <row r="36" spans="1:6" x14ac:dyDescent="0.3">
      <c r="A36" s="4" t="s">
        <v>173</v>
      </c>
      <c r="B36" s="5">
        <v>157</v>
      </c>
      <c r="C36" s="22">
        <v>1.7</v>
      </c>
      <c r="D36" s="5">
        <v>210</v>
      </c>
      <c r="E36" s="22">
        <v>6.88</v>
      </c>
      <c r="F36" s="5">
        <v>246</v>
      </c>
    </row>
    <row r="37" spans="1:6" x14ac:dyDescent="0.3">
      <c r="A37" s="4" t="s">
        <v>173</v>
      </c>
      <c r="B37" s="5">
        <v>163</v>
      </c>
      <c r="C37" s="22">
        <v>1.8</v>
      </c>
      <c r="D37" s="5">
        <v>210</v>
      </c>
      <c r="E37" s="22">
        <v>4.63</v>
      </c>
      <c r="F37" s="5">
        <v>246</v>
      </c>
    </row>
    <row r="38" spans="1:6" x14ac:dyDescent="0.3">
      <c r="A38" s="4" t="s">
        <v>173</v>
      </c>
      <c r="B38" s="5">
        <v>169</v>
      </c>
      <c r="C38" s="22">
        <v>1.4</v>
      </c>
      <c r="D38" s="5">
        <v>211</v>
      </c>
      <c r="E38" s="22">
        <v>5.75</v>
      </c>
      <c r="F38" s="5">
        <v>247</v>
      </c>
    </row>
    <row r="39" spans="1:6" x14ac:dyDescent="0.3">
      <c r="A39" s="4" t="s">
        <v>173</v>
      </c>
      <c r="B39" s="5">
        <v>176</v>
      </c>
      <c r="C39" s="22">
        <v>2</v>
      </c>
      <c r="D39" s="5">
        <v>210</v>
      </c>
      <c r="E39" s="22">
        <v>3.89</v>
      </c>
      <c r="F39" s="5">
        <v>247</v>
      </c>
    </row>
    <row r="40" spans="1:6" x14ac:dyDescent="0.3">
      <c r="A40" s="4" t="s">
        <v>173</v>
      </c>
      <c r="B40" s="5">
        <v>182</v>
      </c>
      <c r="C40" s="22">
        <v>1.7</v>
      </c>
      <c r="D40" s="5">
        <v>211</v>
      </c>
      <c r="E40" s="22">
        <v>6.71</v>
      </c>
      <c r="F40" s="5">
        <v>247</v>
      </c>
    </row>
    <row r="41" spans="1:6" x14ac:dyDescent="0.3">
      <c r="A41" s="4" t="s">
        <v>173</v>
      </c>
      <c r="B41" s="5">
        <v>188</v>
      </c>
      <c r="C41" s="22">
        <v>1.9</v>
      </c>
      <c r="D41" s="5">
        <v>209</v>
      </c>
      <c r="E41" s="22">
        <v>4.43</v>
      </c>
      <c r="F41" s="5">
        <v>247</v>
      </c>
    </row>
    <row r="42" spans="1:6" x14ac:dyDescent="0.3">
      <c r="A42" s="4" t="s">
        <v>173</v>
      </c>
      <c r="B42" s="5">
        <v>194</v>
      </c>
      <c r="C42" s="22">
        <v>1.7</v>
      </c>
      <c r="D42" s="5">
        <v>211</v>
      </c>
      <c r="E42" s="22">
        <v>5.4</v>
      </c>
      <c r="F42" s="5">
        <v>247</v>
      </c>
    </row>
    <row r="43" spans="1:6" x14ac:dyDescent="0.3">
      <c r="A43" s="4" t="s">
        <v>173</v>
      </c>
      <c r="B43" s="5">
        <v>201</v>
      </c>
      <c r="C43" s="22">
        <v>1.8</v>
      </c>
      <c r="D43" s="5">
        <v>211</v>
      </c>
      <c r="E43" s="22">
        <v>4.5999999999999996</v>
      </c>
      <c r="F43" s="5">
        <v>247</v>
      </c>
    </row>
    <row r="44" spans="1:6" x14ac:dyDescent="0.3">
      <c r="A44" s="4" t="s">
        <v>173</v>
      </c>
      <c r="B44" s="5">
        <v>207</v>
      </c>
      <c r="C44" s="22">
        <v>1.8</v>
      </c>
      <c r="D44" s="5">
        <v>210</v>
      </c>
      <c r="E44" s="22">
        <v>7.43</v>
      </c>
      <c r="F44" s="5">
        <v>247</v>
      </c>
    </row>
    <row r="45" spans="1:6" x14ac:dyDescent="0.3">
      <c r="A45" s="4" t="s">
        <v>173</v>
      </c>
      <c r="B45" s="5">
        <v>213</v>
      </c>
      <c r="C45" s="22">
        <v>1.8</v>
      </c>
      <c r="D45" s="5">
        <v>211</v>
      </c>
      <c r="E45" s="22">
        <v>4.09</v>
      </c>
      <c r="F45" s="5">
        <v>248</v>
      </c>
    </row>
    <row r="46" spans="1:6" x14ac:dyDescent="0.3">
      <c r="A46" s="4" t="s">
        <v>173</v>
      </c>
      <c r="B46" s="5">
        <v>219</v>
      </c>
      <c r="C46" s="22">
        <v>1.7</v>
      </c>
      <c r="D46" s="5">
        <v>212</v>
      </c>
      <c r="E46" s="22">
        <v>5.84</v>
      </c>
      <c r="F46" s="5">
        <v>248</v>
      </c>
    </row>
    <row r="47" spans="1:6" x14ac:dyDescent="0.3">
      <c r="A47" s="4" t="s">
        <v>173</v>
      </c>
      <c r="B47" s="5">
        <v>226</v>
      </c>
      <c r="C47" s="22">
        <v>1.9</v>
      </c>
      <c r="D47" s="5">
        <v>211</v>
      </c>
      <c r="E47" s="22">
        <v>7.99</v>
      </c>
      <c r="F47" s="5">
        <v>245</v>
      </c>
    </row>
    <row r="48" spans="1:6" x14ac:dyDescent="0.3">
      <c r="A48" s="4" t="s">
        <v>173</v>
      </c>
      <c r="B48" s="5">
        <v>232</v>
      </c>
      <c r="C48" s="22">
        <v>1.6</v>
      </c>
      <c r="D48" s="5">
        <v>212</v>
      </c>
      <c r="E48" s="22">
        <v>5.79</v>
      </c>
      <c r="F48" s="5">
        <v>246</v>
      </c>
    </row>
    <row r="49" spans="1:6" x14ac:dyDescent="0.3">
      <c r="A49" s="4" t="s">
        <v>173</v>
      </c>
      <c r="B49" s="5">
        <v>238</v>
      </c>
      <c r="C49" s="22">
        <v>1.6</v>
      </c>
      <c r="D49" s="5">
        <v>213</v>
      </c>
      <c r="E49" s="22">
        <v>8.0500000000000007</v>
      </c>
      <c r="F49" s="5">
        <v>243</v>
      </c>
    </row>
    <row r="50" spans="1:6" x14ac:dyDescent="0.3">
      <c r="A50" s="4" t="s">
        <v>173</v>
      </c>
      <c r="B50" s="5">
        <v>245</v>
      </c>
      <c r="C50" s="22">
        <v>1.4</v>
      </c>
      <c r="D50" s="5">
        <v>213</v>
      </c>
      <c r="E50" s="22">
        <v>4.04</v>
      </c>
      <c r="F50" s="5">
        <v>243</v>
      </c>
    </row>
    <row r="51" spans="1:6" x14ac:dyDescent="0.3">
      <c r="A51" s="4" t="s">
        <v>173</v>
      </c>
      <c r="B51" s="5">
        <v>251</v>
      </c>
      <c r="C51" s="22">
        <v>1.1000000000000001</v>
      </c>
      <c r="D51" s="5">
        <v>213</v>
      </c>
      <c r="E51" s="22">
        <v>2.89</v>
      </c>
      <c r="F51" s="5">
        <v>243</v>
      </c>
    </row>
    <row r="52" spans="1:6" x14ac:dyDescent="0.3">
      <c r="A52" s="4" t="s">
        <v>173</v>
      </c>
      <c r="B52" s="5">
        <v>257</v>
      </c>
      <c r="C52" s="22">
        <v>0.7</v>
      </c>
      <c r="D52" s="5">
        <v>214</v>
      </c>
      <c r="E52" s="22">
        <v>1.92</v>
      </c>
      <c r="F52" s="5">
        <v>243</v>
      </c>
    </row>
    <row r="53" spans="1:6" x14ac:dyDescent="0.3">
      <c r="A53" s="4" t="s">
        <v>173</v>
      </c>
      <c r="B53" s="5">
        <v>263</v>
      </c>
      <c r="C53" s="22">
        <v>0.3</v>
      </c>
      <c r="D53" s="5">
        <v>212</v>
      </c>
      <c r="E53" s="22">
        <v>1.1000000000000001</v>
      </c>
      <c r="F53" s="5">
        <v>244</v>
      </c>
    </row>
    <row r="54" spans="1:6" x14ac:dyDescent="0.3">
      <c r="A54" s="4" t="s">
        <v>173</v>
      </c>
      <c r="B54" s="5">
        <v>269</v>
      </c>
      <c r="C54" s="22">
        <v>0.2</v>
      </c>
      <c r="D54" s="5">
        <v>156</v>
      </c>
      <c r="E54" s="22">
        <v>0.02</v>
      </c>
      <c r="F54" s="5">
        <v>243</v>
      </c>
    </row>
    <row r="56" spans="1:6" x14ac:dyDescent="0.3">
      <c r="A56" s="4" t="s">
        <v>174</v>
      </c>
      <c r="B56" s="5">
        <v>0</v>
      </c>
      <c r="C56" s="22">
        <v>0.3</v>
      </c>
      <c r="D56" s="5">
        <v>163</v>
      </c>
      <c r="E56" s="22">
        <v>2.89</v>
      </c>
      <c r="F56" s="5">
        <v>244</v>
      </c>
    </row>
    <row r="57" spans="1:6" x14ac:dyDescent="0.3">
      <c r="A57" s="4" t="s">
        <v>174</v>
      </c>
      <c r="B57" s="5">
        <v>7</v>
      </c>
      <c r="C57" s="22">
        <v>0.4</v>
      </c>
      <c r="D57" s="5">
        <v>179</v>
      </c>
      <c r="E57" s="22">
        <v>1.02</v>
      </c>
      <c r="F57" s="5">
        <v>244</v>
      </c>
    </row>
    <row r="58" spans="1:6" x14ac:dyDescent="0.3">
      <c r="A58" s="4" t="s">
        <v>174</v>
      </c>
      <c r="B58" s="5">
        <v>13</v>
      </c>
      <c r="C58" s="22">
        <v>0.6</v>
      </c>
      <c r="D58" s="5">
        <v>190</v>
      </c>
      <c r="E58" s="22">
        <v>1.8</v>
      </c>
      <c r="F58" s="5">
        <v>244</v>
      </c>
    </row>
    <row r="59" spans="1:6" x14ac:dyDescent="0.3">
      <c r="A59" s="4" t="s">
        <v>174</v>
      </c>
      <c r="B59" s="5">
        <v>19</v>
      </c>
      <c r="C59" s="22">
        <v>0.7</v>
      </c>
      <c r="D59" s="5">
        <v>195</v>
      </c>
      <c r="E59" s="22">
        <v>3.95</v>
      </c>
      <c r="F59" s="5">
        <v>245</v>
      </c>
    </row>
    <row r="60" spans="1:6" x14ac:dyDescent="0.3">
      <c r="A60" s="4" t="s">
        <v>174</v>
      </c>
      <c r="B60" s="5">
        <v>26</v>
      </c>
      <c r="C60" s="22">
        <v>1.4</v>
      </c>
      <c r="D60" s="5">
        <v>196</v>
      </c>
      <c r="E60" s="22">
        <v>4.74</v>
      </c>
      <c r="F60" s="5">
        <v>245</v>
      </c>
    </row>
    <row r="61" spans="1:6" x14ac:dyDescent="0.3">
      <c r="A61" s="4" t="s">
        <v>174</v>
      </c>
      <c r="B61" s="5">
        <v>32</v>
      </c>
      <c r="C61" s="22">
        <v>1.4</v>
      </c>
      <c r="D61" s="5">
        <v>195</v>
      </c>
      <c r="E61" s="22">
        <v>4.3</v>
      </c>
      <c r="F61" s="5">
        <v>245</v>
      </c>
    </row>
    <row r="62" spans="1:6" x14ac:dyDescent="0.3">
      <c r="A62" s="4" t="s">
        <v>174</v>
      </c>
      <c r="B62" s="5">
        <v>38</v>
      </c>
      <c r="C62" s="22">
        <v>1.7</v>
      </c>
      <c r="D62" s="5">
        <v>197</v>
      </c>
      <c r="E62" s="22">
        <v>7.43</v>
      </c>
      <c r="F62" s="5">
        <v>241</v>
      </c>
    </row>
    <row r="63" spans="1:6" x14ac:dyDescent="0.3">
      <c r="A63" s="4" t="s">
        <v>174</v>
      </c>
      <c r="B63" s="5">
        <v>45</v>
      </c>
      <c r="C63" s="22">
        <v>1.7</v>
      </c>
      <c r="D63" s="5">
        <v>198</v>
      </c>
      <c r="E63" s="22">
        <v>7.37</v>
      </c>
      <c r="F63" s="5">
        <v>245</v>
      </c>
    </row>
    <row r="64" spans="1:6" x14ac:dyDescent="0.3">
      <c r="A64" s="4" t="s">
        <v>174</v>
      </c>
      <c r="B64" s="5">
        <v>51</v>
      </c>
      <c r="C64" s="22">
        <v>2.2999999999999998</v>
      </c>
      <c r="D64" s="5">
        <v>200</v>
      </c>
      <c r="E64" s="22">
        <v>7.06</v>
      </c>
      <c r="F64" s="5">
        <v>245</v>
      </c>
    </row>
    <row r="65" spans="1:6" x14ac:dyDescent="0.3">
      <c r="A65" s="4" t="s">
        <v>174</v>
      </c>
      <c r="B65" s="5">
        <v>57</v>
      </c>
      <c r="C65" s="22">
        <v>2.2000000000000002</v>
      </c>
      <c r="D65" s="5">
        <v>211</v>
      </c>
      <c r="E65" s="22">
        <v>7.31</v>
      </c>
      <c r="F65" s="5">
        <v>246</v>
      </c>
    </row>
    <row r="66" spans="1:6" x14ac:dyDescent="0.3">
      <c r="A66" s="4" t="s">
        <v>174</v>
      </c>
      <c r="B66" s="5">
        <v>63</v>
      </c>
      <c r="C66" s="22">
        <v>2.2999999999999998</v>
      </c>
      <c r="D66" s="5">
        <v>216</v>
      </c>
      <c r="E66" s="22">
        <v>10.44</v>
      </c>
      <c r="F66" s="5">
        <v>244</v>
      </c>
    </row>
    <row r="67" spans="1:6" x14ac:dyDescent="0.3">
      <c r="A67" s="4" t="s">
        <v>174</v>
      </c>
      <c r="B67" s="5">
        <v>69</v>
      </c>
      <c r="C67" s="22">
        <v>2.5</v>
      </c>
      <c r="D67" s="5">
        <v>218</v>
      </c>
      <c r="E67" s="22">
        <v>15.06</v>
      </c>
      <c r="F67" s="5">
        <v>243</v>
      </c>
    </row>
    <row r="68" spans="1:6" x14ac:dyDescent="0.3">
      <c r="A68" s="4" t="s">
        <v>174</v>
      </c>
      <c r="B68" s="5">
        <v>76</v>
      </c>
      <c r="C68" s="22">
        <v>3.5</v>
      </c>
      <c r="D68" s="5">
        <v>223</v>
      </c>
      <c r="E68" s="22">
        <v>8.02</v>
      </c>
      <c r="F68" s="5">
        <v>246</v>
      </c>
    </row>
    <row r="69" spans="1:6" x14ac:dyDescent="0.3">
      <c r="A69" s="4" t="s">
        <v>174</v>
      </c>
      <c r="B69" s="5">
        <v>82</v>
      </c>
      <c r="C69" s="22">
        <v>3.2</v>
      </c>
      <c r="D69" s="5">
        <v>236</v>
      </c>
      <c r="E69" s="22">
        <v>8.14</v>
      </c>
      <c r="F69" s="5">
        <v>246</v>
      </c>
    </row>
    <row r="70" spans="1:6" x14ac:dyDescent="0.3">
      <c r="A70" s="4" t="s">
        <v>174</v>
      </c>
      <c r="B70" s="5">
        <v>88</v>
      </c>
      <c r="C70" s="22">
        <v>3.3</v>
      </c>
      <c r="D70" s="5">
        <v>237</v>
      </c>
      <c r="E70" s="22">
        <v>9.74</v>
      </c>
      <c r="F70" s="5">
        <v>247</v>
      </c>
    </row>
    <row r="71" spans="1:6" x14ac:dyDescent="0.3">
      <c r="A71" s="4" t="s">
        <v>174</v>
      </c>
      <c r="B71" s="5">
        <v>95</v>
      </c>
      <c r="C71" s="22">
        <v>3.2</v>
      </c>
      <c r="D71" s="5">
        <v>243</v>
      </c>
      <c r="E71" s="22">
        <v>11.34</v>
      </c>
      <c r="F71" s="5">
        <v>247</v>
      </c>
    </row>
    <row r="72" spans="1:6" x14ac:dyDescent="0.3">
      <c r="A72" s="4" t="s">
        <v>174</v>
      </c>
      <c r="B72" s="5">
        <v>101</v>
      </c>
      <c r="C72" s="22">
        <v>3.9</v>
      </c>
      <c r="D72" s="5">
        <v>275</v>
      </c>
      <c r="E72" s="22">
        <v>10.130000000000001</v>
      </c>
      <c r="F72" s="5">
        <v>247</v>
      </c>
    </row>
    <row r="73" spans="1:6" x14ac:dyDescent="0.3">
      <c r="A73" s="4" t="s">
        <v>174</v>
      </c>
      <c r="B73" s="5">
        <v>107</v>
      </c>
      <c r="C73" s="22">
        <v>3.4</v>
      </c>
      <c r="D73" s="5">
        <v>318</v>
      </c>
      <c r="E73" s="22">
        <v>13.17</v>
      </c>
      <c r="F73" s="5">
        <v>246</v>
      </c>
    </row>
    <row r="74" spans="1:6" x14ac:dyDescent="0.3">
      <c r="A74" s="4" t="s">
        <v>174</v>
      </c>
      <c r="B74" s="5">
        <v>113</v>
      </c>
      <c r="C74" s="22">
        <v>4</v>
      </c>
      <c r="D74" s="5">
        <v>312</v>
      </c>
      <c r="E74" s="22">
        <v>13.92</v>
      </c>
      <c r="F74" s="5">
        <v>246</v>
      </c>
    </row>
    <row r="75" spans="1:6" x14ac:dyDescent="0.3">
      <c r="A75" s="4" t="s">
        <v>174</v>
      </c>
      <c r="B75" s="5">
        <v>119</v>
      </c>
      <c r="C75" s="22">
        <v>4.4000000000000004</v>
      </c>
      <c r="D75" s="5">
        <v>318</v>
      </c>
      <c r="E75" s="22">
        <v>16.87</v>
      </c>
      <c r="F75" s="5">
        <v>246</v>
      </c>
    </row>
    <row r="76" spans="1:6" x14ac:dyDescent="0.3">
      <c r="A76" s="4" t="s">
        <v>174</v>
      </c>
      <c r="B76" s="5">
        <v>126</v>
      </c>
      <c r="C76" s="22">
        <v>4.5999999999999996</v>
      </c>
      <c r="D76" s="5">
        <v>336</v>
      </c>
      <c r="E76" s="22">
        <v>13.78</v>
      </c>
      <c r="F76" s="5">
        <v>247</v>
      </c>
    </row>
    <row r="77" spans="1:6" x14ac:dyDescent="0.3">
      <c r="A77" s="4" t="s">
        <v>174</v>
      </c>
      <c r="B77" s="5">
        <v>132</v>
      </c>
      <c r="C77" s="22">
        <v>5</v>
      </c>
      <c r="D77" s="5">
        <v>346</v>
      </c>
      <c r="E77" s="22">
        <v>16.7</v>
      </c>
      <c r="F77" s="5">
        <v>246</v>
      </c>
    </row>
    <row r="78" spans="1:6" x14ac:dyDescent="0.3">
      <c r="A78" s="4" t="s">
        <v>174</v>
      </c>
      <c r="B78" s="5">
        <v>138</v>
      </c>
      <c r="C78" s="22">
        <v>5</v>
      </c>
      <c r="D78" s="5">
        <v>333</v>
      </c>
      <c r="E78" s="22">
        <v>16.22</v>
      </c>
      <c r="F78" s="5">
        <v>259</v>
      </c>
    </row>
    <row r="79" spans="1:6" x14ac:dyDescent="0.3">
      <c r="A79" s="4" t="s">
        <v>174</v>
      </c>
      <c r="B79" s="5">
        <v>145</v>
      </c>
      <c r="C79" s="22">
        <v>5.3</v>
      </c>
      <c r="D79" s="5">
        <v>348</v>
      </c>
      <c r="E79" s="22">
        <v>21.83</v>
      </c>
      <c r="F79" s="5">
        <v>261</v>
      </c>
    </row>
    <row r="80" spans="1:6" x14ac:dyDescent="0.3">
      <c r="A80" s="4" t="s">
        <v>174</v>
      </c>
      <c r="B80" s="5">
        <v>151</v>
      </c>
      <c r="C80" s="22">
        <v>6.4</v>
      </c>
      <c r="D80" s="5">
        <v>336</v>
      </c>
      <c r="E80" s="22">
        <v>21.37</v>
      </c>
      <c r="F80" s="5">
        <v>265</v>
      </c>
    </row>
    <row r="81" spans="1:6" x14ac:dyDescent="0.3">
      <c r="A81" s="4" t="s">
        <v>174</v>
      </c>
      <c r="B81" s="5">
        <v>157</v>
      </c>
      <c r="C81" s="22">
        <v>6.5</v>
      </c>
      <c r="D81" s="5">
        <v>352</v>
      </c>
      <c r="E81" s="22">
        <v>24.84</v>
      </c>
      <c r="F81" s="5">
        <v>265</v>
      </c>
    </row>
    <row r="82" spans="1:6" x14ac:dyDescent="0.3">
      <c r="A82" s="4" t="s">
        <v>174</v>
      </c>
      <c r="B82" s="5">
        <v>163</v>
      </c>
      <c r="C82" s="22">
        <v>7.1</v>
      </c>
      <c r="D82" s="5">
        <v>347</v>
      </c>
      <c r="E82" s="22">
        <v>19.71</v>
      </c>
      <c r="F82" s="5">
        <v>266</v>
      </c>
    </row>
    <row r="83" spans="1:6" x14ac:dyDescent="0.3">
      <c r="A83" s="4" t="s">
        <v>174</v>
      </c>
      <c r="B83" s="5">
        <v>169</v>
      </c>
      <c r="C83" s="22">
        <v>7.5</v>
      </c>
      <c r="D83" s="5">
        <v>344</v>
      </c>
      <c r="E83" s="22">
        <v>24.47</v>
      </c>
      <c r="F83" s="5">
        <v>275</v>
      </c>
    </row>
    <row r="84" spans="1:6" x14ac:dyDescent="0.3">
      <c r="A84" s="4" t="s">
        <v>174</v>
      </c>
      <c r="B84" s="5">
        <v>176</v>
      </c>
      <c r="C84" s="22">
        <v>7.6</v>
      </c>
      <c r="D84" s="5">
        <v>343</v>
      </c>
      <c r="E84" s="22">
        <v>21.92</v>
      </c>
      <c r="F84" s="5">
        <v>275</v>
      </c>
    </row>
    <row r="85" spans="1:6" x14ac:dyDescent="0.3">
      <c r="A85" s="4" t="s">
        <v>174</v>
      </c>
      <c r="B85" s="5">
        <v>182</v>
      </c>
      <c r="C85" s="22">
        <v>7.9</v>
      </c>
      <c r="D85" s="5">
        <v>342</v>
      </c>
      <c r="E85" s="22">
        <v>25.26</v>
      </c>
      <c r="F85" s="5">
        <v>275</v>
      </c>
    </row>
    <row r="86" spans="1:6" x14ac:dyDescent="0.3">
      <c r="A86" s="4" t="s">
        <v>174</v>
      </c>
      <c r="B86" s="5">
        <v>188</v>
      </c>
      <c r="C86" s="22">
        <v>8.1999999999999993</v>
      </c>
      <c r="D86" s="5">
        <v>343</v>
      </c>
      <c r="E86" s="22">
        <v>28</v>
      </c>
      <c r="F86" s="5">
        <v>279</v>
      </c>
    </row>
    <row r="87" spans="1:6" x14ac:dyDescent="0.3">
      <c r="A87" s="4" t="s">
        <v>174</v>
      </c>
      <c r="B87" s="5">
        <v>195</v>
      </c>
      <c r="C87" s="22">
        <v>9</v>
      </c>
      <c r="D87" s="5">
        <v>352</v>
      </c>
      <c r="E87" s="22">
        <v>30.34</v>
      </c>
      <c r="F87" s="5">
        <v>280</v>
      </c>
    </row>
    <row r="88" spans="1:6" x14ac:dyDescent="0.3">
      <c r="A88" s="4" t="s">
        <v>174</v>
      </c>
      <c r="B88" s="5">
        <v>201</v>
      </c>
      <c r="C88" s="22">
        <v>9.5</v>
      </c>
      <c r="D88" s="5">
        <v>361</v>
      </c>
      <c r="E88" s="22">
        <v>31.74</v>
      </c>
      <c r="F88" s="5">
        <v>279</v>
      </c>
    </row>
    <row r="89" spans="1:6" x14ac:dyDescent="0.3">
      <c r="A89" s="4" t="s">
        <v>174</v>
      </c>
      <c r="B89" s="5">
        <v>207</v>
      </c>
      <c r="C89" s="22">
        <v>10.1</v>
      </c>
      <c r="D89" s="5">
        <v>348</v>
      </c>
      <c r="E89" s="22">
        <v>39.75</v>
      </c>
      <c r="F89" s="5">
        <v>280</v>
      </c>
    </row>
    <row r="90" spans="1:6" x14ac:dyDescent="0.3">
      <c r="A90" s="4" t="s">
        <v>174</v>
      </c>
      <c r="B90" s="5">
        <v>213</v>
      </c>
      <c r="C90" s="22">
        <v>10.6</v>
      </c>
      <c r="D90" s="5">
        <v>365</v>
      </c>
      <c r="E90" s="22">
        <v>33.46</v>
      </c>
      <c r="F90" s="5">
        <v>280</v>
      </c>
    </row>
    <row r="91" spans="1:6" x14ac:dyDescent="0.3">
      <c r="A91" s="4" t="s">
        <v>174</v>
      </c>
      <c r="B91" s="5">
        <v>219</v>
      </c>
      <c r="C91" s="22">
        <v>11.1</v>
      </c>
      <c r="D91" s="5">
        <v>352</v>
      </c>
      <c r="E91" s="22">
        <v>38.68</v>
      </c>
      <c r="F91" s="5">
        <v>280</v>
      </c>
    </row>
    <row r="92" spans="1:6" x14ac:dyDescent="0.3">
      <c r="A92" s="4" t="s">
        <v>174</v>
      </c>
      <c r="B92" s="5">
        <v>226</v>
      </c>
      <c r="C92" s="22">
        <v>11.7</v>
      </c>
      <c r="D92" s="5">
        <v>363</v>
      </c>
      <c r="E92" s="22">
        <v>41.21</v>
      </c>
      <c r="F92" s="5">
        <v>280</v>
      </c>
    </row>
    <row r="93" spans="1:6" x14ac:dyDescent="0.3">
      <c r="A93" s="4" t="s">
        <v>174</v>
      </c>
      <c r="B93" s="5">
        <v>232</v>
      </c>
      <c r="C93" s="22">
        <v>12.5</v>
      </c>
      <c r="D93" s="5">
        <v>364</v>
      </c>
      <c r="E93" s="22">
        <v>40.26</v>
      </c>
      <c r="F93" s="5">
        <v>280</v>
      </c>
    </row>
    <row r="94" spans="1:6" x14ac:dyDescent="0.3">
      <c r="A94" s="4" t="s">
        <v>174</v>
      </c>
      <c r="B94" s="5">
        <v>238</v>
      </c>
      <c r="C94" s="22">
        <v>12.1</v>
      </c>
      <c r="D94" s="5">
        <v>353</v>
      </c>
      <c r="E94" s="22">
        <v>35.21</v>
      </c>
      <c r="F94" s="5">
        <v>280</v>
      </c>
    </row>
    <row r="95" spans="1:6" x14ac:dyDescent="0.3">
      <c r="A95" s="4" t="s">
        <v>174</v>
      </c>
      <c r="B95" s="5">
        <v>245</v>
      </c>
      <c r="C95" s="22">
        <v>9.1999999999999993</v>
      </c>
      <c r="D95" s="5">
        <v>359</v>
      </c>
      <c r="E95" s="22">
        <v>20.85</v>
      </c>
      <c r="F95" s="5">
        <v>278</v>
      </c>
    </row>
    <row r="96" spans="1:6" x14ac:dyDescent="0.3">
      <c r="A96" s="4" t="s">
        <v>174</v>
      </c>
      <c r="B96" s="5">
        <v>251</v>
      </c>
      <c r="C96" s="22">
        <v>6.2</v>
      </c>
      <c r="D96" s="5">
        <v>351</v>
      </c>
      <c r="E96" s="22">
        <v>14.65</v>
      </c>
      <c r="F96" s="5">
        <v>279</v>
      </c>
    </row>
    <row r="97" spans="1:6" x14ac:dyDescent="0.3">
      <c r="A97" s="4" t="s">
        <v>174</v>
      </c>
      <c r="B97" s="5">
        <v>257</v>
      </c>
      <c r="C97" s="22">
        <v>4.3</v>
      </c>
      <c r="D97" s="5">
        <v>351</v>
      </c>
      <c r="E97" s="22">
        <v>6.64</v>
      </c>
      <c r="F97" s="5">
        <v>279</v>
      </c>
    </row>
    <row r="98" spans="1:6" x14ac:dyDescent="0.3">
      <c r="A98" s="4" t="s">
        <v>174</v>
      </c>
      <c r="B98" s="5">
        <v>263</v>
      </c>
      <c r="C98" s="22">
        <v>1.9</v>
      </c>
      <c r="D98" s="5">
        <v>359</v>
      </c>
      <c r="E98" s="22">
        <v>2.99</v>
      </c>
      <c r="F98" s="5">
        <v>278</v>
      </c>
    </row>
    <row r="99" spans="1:6" x14ac:dyDescent="0.3">
      <c r="A99" s="4" t="s">
        <v>174</v>
      </c>
      <c r="B99" s="5">
        <v>269</v>
      </c>
      <c r="C99" s="22">
        <v>0.3</v>
      </c>
      <c r="D99" s="5">
        <v>172</v>
      </c>
      <c r="E99" s="22">
        <v>0</v>
      </c>
      <c r="F99" s="5">
        <v>277</v>
      </c>
    </row>
    <row r="101" spans="1:6" x14ac:dyDescent="0.3">
      <c r="A101" s="4" t="s">
        <v>175</v>
      </c>
      <c r="B101" s="5">
        <v>0</v>
      </c>
      <c r="C101" s="22">
        <v>0</v>
      </c>
      <c r="D101" s="5">
        <v>176</v>
      </c>
      <c r="E101" s="22">
        <v>0.02</v>
      </c>
      <c r="F101" s="5">
        <v>280</v>
      </c>
    </row>
    <row r="102" spans="1:6" x14ac:dyDescent="0.3">
      <c r="A102" s="4" t="s">
        <v>175</v>
      </c>
      <c r="B102" s="5">
        <v>7</v>
      </c>
      <c r="C102" s="22">
        <v>0.2</v>
      </c>
      <c r="D102" s="5">
        <v>182</v>
      </c>
      <c r="E102" s="22">
        <v>0.41</v>
      </c>
      <c r="F102" s="5">
        <v>280</v>
      </c>
    </row>
    <row r="103" spans="1:6" x14ac:dyDescent="0.3">
      <c r="A103" s="4" t="s">
        <v>175</v>
      </c>
      <c r="B103" s="5">
        <v>13</v>
      </c>
      <c r="C103" s="22">
        <v>0.3</v>
      </c>
      <c r="D103" s="5">
        <v>192</v>
      </c>
      <c r="E103" s="22">
        <v>1.07</v>
      </c>
      <c r="F103" s="5">
        <v>281</v>
      </c>
    </row>
    <row r="104" spans="1:6" x14ac:dyDescent="0.3">
      <c r="A104" s="4" t="s">
        <v>175</v>
      </c>
      <c r="B104" s="5">
        <v>19</v>
      </c>
      <c r="C104" s="22">
        <v>0.4</v>
      </c>
      <c r="D104" s="5">
        <v>207</v>
      </c>
      <c r="E104" s="22">
        <v>2.97</v>
      </c>
      <c r="F104" s="5">
        <v>280</v>
      </c>
    </row>
    <row r="105" spans="1:6" x14ac:dyDescent="0.3">
      <c r="A105" s="4" t="s">
        <v>175</v>
      </c>
      <c r="B105" s="5">
        <v>26</v>
      </c>
      <c r="C105" s="22">
        <v>2.8</v>
      </c>
      <c r="D105" s="5">
        <v>218</v>
      </c>
      <c r="E105" s="22">
        <v>21.31</v>
      </c>
      <c r="F105" s="5">
        <v>280</v>
      </c>
    </row>
    <row r="106" spans="1:6" x14ac:dyDescent="0.3">
      <c r="A106" s="4" t="s">
        <v>175</v>
      </c>
      <c r="B106" s="5">
        <v>32</v>
      </c>
      <c r="C106" s="22">
        <v>9.8000000000000007</v>
      </c>
      <c r="D106" s="5">
        <v>347</v>
      </c>
      <c r="E106" s="22">
        <v>43.5</v>
      </c>
      <c r="F106" s="5">
        <v>280</v>
      </c>
    </row>
    <row r="107" spans="1:6" x14ac:dyDescent="0.3">
      <c r="A107" s="4" t="s">
        <v>175</v>
      </c>
      <c r="B107" s="5">
        <v>38</v>
      </c>
      <c r="C107" s="22">
        <v>12.8</v>
      </c>
      <c r="D107" s="5">
        <v>348</v>
      </c>
      <c r="E107" s="22">
        <v>41.18</v>
      </c>
      <c r="F107" s="5">
        <v>279</v>
      </c>
    </row>
    <row r="108" spans="1:6" x14ac:dyDescent="0.3">
      <c r="A108" s="4" t="s">
        <v>175</v>
      </c>
      <c r="B108" s="5">
        <v>45</v>
      </c>
      <c r="C108" s="22">
        <v>12.2</v>
      </c>
      <c r="D108" s="5">
        <v>364</v>
      </c>
      <c r="E108" s="22">
        <v>41.24</v>
      </c>
      <c r="F108" s="5">
        <v>280</v>
      </c>
    </row>
    <row r="109" spans="1:6" x14ac:dyDescent="0.3">
      <c r="A109" s="4" t="s">
        <v>175</v>
      </c>
      <c r="B109" s="5">
        <v>51</v>
      </c>
      <c r="C109" s="22">
        <v>12.9</v>
      </c>
      <c r="D109" s="5">
        <v>359</v>
      </c>
      <c r="E109" s="22">
        <v>42.18</v>
      </c>
      <c r="F109" s="5">
        <v>280</v>
      </c>
    </row>
    <row r="110" spans="1:6" x14ac:dyDescent="0.3">
      <c r="A110" s="4" t="s">
        <v>175</v>
      </c>
      <c r="B110" s="5">
        <v>57</v>
      </c>
      <c r="C110" s="22">
        <v>13</v>
      </c>
      <c r="D110" s="5">
        <v>358</v>
      </c>
      <c r="E110" s="22">
        <v>44.09</v>
      </c>
      <c r="F110" s="5">
        <v>281</v>
      </c>
    </row>
    <row r="111" spans="1:6" x14ac:dyDescent="0.3">
      <c r="A111" s="4" t="s">
        <v>175</v>
      </c>
      <c r="B111" s="5">
        <v>63</v>
      </c>
      <c r="C111" s="22">
        <v>13.2</v>
      </c>
      <c r="D111" s="5">
        <v>374</v>
      </c>
      <c r="E111" s="22">
        <v>41.49</v>
      </c>
      <c r="F111" s="5">
        <v>280</v>
      </c>
    </row>
    <row r="112" spans="1:6" x14ac:dyDescent="0.3">
      <c r="A112" s="4" t="s">
        <v>175</v>
      </c>
      <c r="B112" s="5">
        <v>69</v>
      </c>
      <c r="C112" s="22">
        <v>13.3</v>
      </c>
      <c r="D112" s="5">
        <v>365</v>
      </c>
      <c r="E112" s="22">
        <v>35.65</v>
      </c>
      <c r="F112" s="5">
        <v>281</v>
      </c>
    </row>
    <row r="113" spans="1:6" x14ac:dyDescent="0.3">
      <c r="A113" s="4" t="s">
        <v>175</v>
      </c>
      <c r="B113" s="5">
        <v>76</v>
      </c>
      <c r="C113" s="22">
        <v>10.6</v>
      </c>
      <c r="D113" s="5">
        <v>358</v>
      </c>
      <c r="E113" s="22">
        <v>27.73</v>
      </c>
      <c r="F113" s="5">
        <v>280</v>
      </c>
    </row>
    <row r="114" spans="1:6" x14ac:dyDescent="0.3">
      <c r="A114" s="4" t="s">
        <v>175</v>
      </c>
      <c r="B114" s="5">
        <v>82</v>
      </c>
      <c r="C114" s="22">
        <v>5.7</v>
      </c>
      <c r="D114" s="5">
        <v>363</v>
      </c>
      <c r="E114" s="22">
        <v>3.22</v>
      </c>
      <c r="F114" s="5">
        <v>280</v>
      </c>
    </row>
    <row r="115" spans="1:6" x14ac:dyDescent="0.3">
      <c r="A115" s="4" t="s">
        <v>175</v>
      </c>
      <c r="B115" s="5">
        <v>88</v>
      </c>
      <c r="C115" s="22">
        <v>0.6</v>
      </c>
      <c r="D115" s="5">
        <v>366</v>
      </c>
      <c r="E115" s="22">
        <v>0.85</v>
      </c>
      <c r="F115" s="5">
        <v>280</v>
      </c>
    </row>
    <row r="116" spans="1:6" x14ac:dyDescent="0.3">
      <c r="A116" s="4" t="s">
        <v>175</v>
      </c>
      <c r="B116" s="5">
        <v>95</v>
      </c>
      <c r="C116" s="22">
        <v>0.5</v>
      </c>
      <c r="D116" s="5">
        <v>354</v>
      </c>
      <c r="E116" s="22">
        <v>1.54</v>
      </c>
      <c r="F116" s="5">
        <v>280</v>
      </c>
    </row>
    <row r="117" spans="1:6" x14ac:dyDescent="0.3">
      <c r="A117" s="4" t="s">
        <v>175</v>
      </c>
      <c r="B117" s="5">
        <v>101</v>
      </c>
      <c r="C117" s="22">
        <v>0.6</v>
      </c>
      <c r="D117" s="5">
        <v>354</v>
      </c>
      <c r="E117" s="22">
        <v>3.03</v>
      </c>
      <c r="F117" s="5">
        <v>280</v>
      </c>
    </row>
    <row r="118" spans="1:6" x14ac:dyDescent="0.3">
      <c r="A118" s="4" t="s">
        <v>175</v>
      </c>
      <c r="B118" s="5">
        <v>107</v>
      </c>
      <c r="C118" s="22">
        <v>0.5</v>
      </c>
      <c r="D118" s="5">
        <v>354</v>
      </c>
      <c r="E118" s="22">
        <v>0.75</v>
      </c>
      <c r="F118" s="5">
        <v>281</v>
      </c>
    </row>
    <row r="119" spans="1:6" x14ac:dyDescent="0.3">
      <c r="A119" s="4" t="s">
        <v>175</v>
      </c>
      <c r="B119" s="5">
        <v>113</v>
      </c>
      <c r="C119" s="22">
        <v>0.4</v>
      </c>
      <c r="D119" s="5">
        <v>355</v>
      </c>
      <c r="E119" s="22">
        <v>1.28</v>
      </c>
      <c r="F119" s="5">
        <v>280</v>
      </c>
    </row>
    <row r="120" spans="1:6" x14ac:dyDescent="0.3">
      <c r="A120" s="4" t="s">
        <v>175</v>
      </c>
      <c r="B120" s="5">
        <v>119</v>
      </c>
      <c r="C120" s="22">
        <v>0.5</v>
      </c>
      <c r="D120" s="5">
        <v>355</v>
      </c>
      <c r="E120" s="22">
        <v>3.55</v>
      </c>
      <c r="F120" s="5">
        <v>278</v>
      </c>
    </row>
    <row r="121" spans="1:6" x14ac:dyDescent="0.3">
      <c r="A121" s="4" t="s">
        <v>175</v>
      </c>
      <c r="B121" s="5">
        <v>126</v>
      </c>
      <c r="C121" s="22">
        <v>0.2</v>
      </c>
      <c r="D121" s="5">
        <v>356</v>
      </c>
      <c r="E121" s="22">
        <v>2.35</v>
      </c>
      <c r="F121" s="5">
        <v>278</v>
      </c>
    </row>
    <row r="123" spans="1:6" x14ac:dyDescent="0.3">
      <c r="A123" s="4" t="s">
        <v>176</v>
      </c>
      <c r="B123" s="5">
        <v>0</v>
      </c>
      <c r="C123" s="22">
        <v>0.2</v>
      </c>
      <c r="D123" s="5">
        <v>198</v>
      </c>
      <c r="E123" s="22">
        <v>0.2</v>
      </c>
      <c r="F123" s="5">
        <v>277</v>
      </c>
    </row>
    <row r="124" spans="1:6" x14ac:dyDescent="0.3">
      <c r="A124" s="4" t="s">
        <v>176</v>
      </c>
      <c r="B124" s="5">
        <v>6</v>
      </c>
      <c r="C124" s="22">
        <v>0.1</v>
      </c>
      <c r="D124" s="5">
        <v>213</v>
      </c>
      <c r="E124" s="22">
        <v>0.24</v>
      </c>
      <c r="F124" s="5">
        <v>277</v>
      </c>
    </row>
    <row r="125" spans="1:6" x14ac:dyDescent="0.3">
      <c r="A125" s="4" t="s">
        <v>176</v>
      </c>
      <c r="B125" s="5">
        <v>13</v>
      </c>
      <c r="C125" s="22">
        <v>0.2</v>
      </c>
      <c r="D125" s="5">
        <v>216</v>
      </c>
      <c r="E125" s="22">
        <v>0</v>
      </c>
      <c r="F125" s="5">
        <v>277</v>
      </c>
    </row>
    <row r="126" spans="1:6" x14ac:dyDescent="0.3">
      <c r="A126" s="4" t="s">
        <v>176</v>
      </c>
      <c r="B126" s="5">
        <v>19</v>
      </c>
      <c r="C126" s="22">
        <v>0.4</v>
      </c>
      <c r="D126" s="5">
        <v>215</v>
      </c>
      <c r="E126" s="22">
        <v>0.02</v>
      </c>
      <c r="F126" s="5">
        <v>277</v>
      </c>
    </row>
    <row r="127" spans="1:6" x14ac:dyDescent="0.3">
      <c r="A127" s="4" t="s">
        <v>176</v>
      </c>
      <c r="B127" s="5">
        <v>25</v>
      </c>
      <c r="C127" s="22">
        <v>0.2</v>
      </c>
      <c r="D127" s="5">
        <v>211</v>
      </c>
      <c r="E127" s="22">
        <v>0.2</v>
      </c>
      <c r="F127" s="5">
        <v>277</v>
      </c>
    </row>
    <row r="128" spans="1:6" x14ac:dyDescent="0.3">
      <c r="A128" s="4" t="s">
        <v>176</v>
      </c>
      <c r="B128" s="5">
        <v>32</v>
      </c>
      <c r="C128" s="22">
        <v>0.1</v>
      </c>
      <c r="D128" s="5">
        <v>215</v>
      </c>
      <c r="E128" s="22">
        <v>2.4300000000000002</v>
      </c>
      <c r="F128" s="5">
        <v>277</v>
      </c>
    </row>
    <row r="129" spans="1:6" x14ac:dyDescent="0.3">
      <c r="A129" s="4" t="s">
        <v>176</v>
      </c>
      <c r="B129" s="5">
        <v>38</v>
      </c>
      <c r="C129" s="22">
        <v>0.2</v>
      </c>
      <c r="D129" s="5">
        <v>216</v>
      </c>
      <c r="E129" s="22">
        <v>0.16</v>
      </c>
      <c r="F129" s="5">
        <v>277</v>
      </c>
    </row>
    <row r="130" spans="1:6" x14ac:dyDescent="0.3">
      <c r="A130" s="4" t="s">
        <v>176</v>
      </c>
      <c r="B130" s="5">
        <v>44</v>
      </c>
      <c r="C130" s="22">
        <v>0.2</v>
      </c>
      <c r="D130" s="5">
        <v>218</v>
      </c>
      <c r="E130" s="22">
        <v>0</v>
      </c>
      <c r="F130" s="5">
        <v>277</v>
      </c>
    </row>
    <row r="131" spans="1:6" x14ac:dyDescent="0.3">
      <c r="A131" s="4" t="s">
        <v>176</v>
      </c>
      <c r="B131" s="5">
        <v>51</v>
      </c>
      <c r="C131" s="22">
        <v>0.1</v>
      </c>
      <c r="D131" s="5">
        <v>218</v>
      </c>
      <c r="E131" s="22">
        <v>0.61</v>
      </c>
      <c r="F131" s="5">
        <v>277</v>
      </c>
    </row>
    <row r="132" spans="1:6" x14ac:dyDescent="0.3">
      <c r="A132" s="4" t="s">
        <v>176</v>
      </c>
      <c r="B132" s="5">
        <v>57</v>
      </c>
      <c r="C132" s="22">
        <v>0.2</v>
      </c>
      <c r="D132" s="5">
        <v>219</v>
      </c>
      <c r="E132" s="22">
        <v>2.2999999999999998</v>
      </c>
      <c r="F132" s="5">
        <v>277</v>
      </c>
    </row>
    <row r="133" spans="1:6" x14ac:dyDescent="0.3">
      <c r="A133" s="4" t="s">
        <v>176</v>
      </c>
      <c r="B133" s="5">
        <v>63</v>
      </c>
      <c r="C133" s="22">
        <v>0.5</v>
      </c>
      <c r="D133" s="5">
        <v>221</v>
      </c>
      <c r="E133" s="22">
        <v>0.2</v>
      </c>
      <c r="F133" s="5">
        <v>277</v>
      </c>
    </row>
    <row r="134" spans="1:6" x14ac:dyDescent="0.3">
      <c r="A134" s="4" t="s">
        <v>176</v>
      </c>
      <c r="B134" s="5">
        <v>69</v>
      </c>
      <c r="C134" s="22">
        <v>1</v>
      </c>
      <c r="D134" s="5">
        <v>216</v>
      </c>
      <c r="E134" s="22">
        <v>0</v>
      </c>
      <c r="F134" s="5">
        <v>277</v>
      </c>
    </row>
    <row r="135" spans="1:6" x14ac:dyDescent="0.3">
      <c r="A135" s="4" t="s">
        <v>176</v>
      </c>
      <c r="B135" s="5">
        <v>76</v>
      </c>
      <c r="C135" s="22">
        <v>1.2</v>
      </c>
      <c r="D135" s="5">
        <v>220</v>
      </c>
      <c r="E135" s="22">
        <v>0.34</v>
      </c>
      <c r="F135" s="5">
        <v>277</v>
      </c>
    </row>
    <row r="136" spans="1:6" x14ac:dyDescent="0.3">
      <c r="A136" s="4" t="s">
        <v>176</v>
      </c>
      <c r="B136" s="5">
        <v>82</v>
      </c>
      <c r="C136" s="22">
        <v>1.3</v>
      </c>
      <c r="D136" s="5">
        <v>220</v>
      </c>
      <c r="E136" s="22">
        <v>2.1</v>
      </c>
      <c r="F136" s="5">
        <v>277</v>
      </c>
    </row>
    <row r="137" spans="1:6" x14ac:dyDescent="0.3">
      <c r="A137" s="4" t="s">
        <v>176</v>
      </c>
      <c r="B137" s="5">
        <v>88</v>
      </c>
      <c r="C137" s="22">
        <v>0.6</v>
      </c>
      <c r="D137" s="5">
        <v>223</v>
      </c>
      <c r="E137" s="22">
        <v>0.15</v>
      </c>
      <c r="F137" s="5">
        <v>277</v>
      </c>
    </row>
    <row r="138" spans="1:6" x14ac:dyDescent="0.3">
      <c r="A138" s="4" t="s">
        <v>176</v>
      </c>
      <c r="B138" s="5">
        <v>94</v>
      </c>
      <c r="C138" s="22">
        <v>0.7</v>
      </c>
      <c r="D138" s="5">
        <v>222</v>
      </c>
      <c r="E138" s="22">
        <v>0.33</v>
      </c>
      <c r="F138" s="5">
        <v>277</v>
      </c>
    </row>
    <row r="139" spans="1:6" x14ac:dyDescent="0.3">
      <c r="A139" s="4" t="s">
        <v>176</v>
      </c>
      <c r="B139" s="5">
        <v>101</v>
      </c>
      <c r="C139" s="22">
        <v>0.7</v>
      </c>
      <c r="D139" s="5">
        <v>220</v>
      </c>
      <c r="E139" s="22">
        <v>0.18</v>
      </c>
      <c r="F139" s="5">
        <v>277</v>
      </c>
    </row>
    <row r="140" spans="1:6" x14ac:dyDescent="0.3">
      <c r="A140" s="4" t="s">
        <v>176</v>
      </c>
      <c r="B140" s="5">
        <v>107</v>
      </c>
      <c r="C140" s="22">
        <v>0.7</v>
      </c>
      <c r="D140" s="5">
        <v>224</v>
      </c>
      <c r="E140" s="22">
        <v>2.02</v>
      </c>
      <c r="F140" s="5">
        <v>277</v>
      </c>
    </row>
    <row r="141" spans="1:6" x14ac:dyDescent="0.3">
      <c r="A141" s="4" t="s">
        <v>176</v>
      </c>
      <c r="B141" s="5">
        <v>113</v>
      </c>
      <c r="C141" s="22">
        <v>0.9</v>
      </c>
      <c r="D141" s="5">
        <v>224</v>
      </c>
      <c r="E141" s="22">
        <v>0.2</v>
      </c>
      <c r="F141" s="5">
        <v>277</v>
      </c>
    </row>
    <row r="142" spans="1:6" x14ac:dyDescent="0.3">
      <c r="A142" s="4" t="s">
        <v>176</v>
      </c>
      <c r="B142" s="5">
        <v>119</v>
      </c>
      <c r="C142" s="22">
        <v>0.6</v>
      </c>
      <c r="D142" s="5">
        <v>224</v>
      </c>
      <c r="E142" s="22">
        <v>0.22</v>
      </c>
      <c r="F142" s="5">
        <v>277</v>
      </c>
    </row>
    <row r="143" spans="1:6" x14ac:dyDescent="0.3">
      <c r="A143" s="4" t="s">
        <v>176</v>
      </c>
      <c r="B143" s="5">
        <v>126</v>
      </c>
      <c r="C143" s="22">
        <v>0.7</v>
      </c>
      <c r="D143" s="5">
        <v>222</v>
      </c>
      <c r="E143" s="22">
        <v>0.3</v>
      </c>
      <c r="F143" s="5">
        <v>277</v>
      </c>
    </row>
    <row r="144" spans="1:6" x14ac:dyDescent="0.3">
      <c r="A144" s="4" t="s">
        <v>176</v>
      </c>
      <c r="B144" s="5">
        <v>132</v>
      </c>
      <c r="C144" s="22">
        <v>0.7</v>
      </c>
      <c r="D144" s="5">
        <v>217</v>
      </c>
      <c r="E144" s="22">
        <v>2.61</v>
      </c>
      <c r="F144" s="5">
        <v>277</v>
      </c>
    </row>
    <row r="145" spans="1:6" x14ac:dyDescent="0.3">
      <c r="A145" s="4" t="s">
        <v>176</v>
      </c>
      <c r="B145" s="5">
        <v>138</v>
      </c>
      <c r="C145" s="22">
        <v>1.1000000000000001</v>
      </c>
      <c r="D145" s="5">
        <v>231</v>
      </c>
      <c r="E145" s="22">
        <v>0.49</v>
      </c>
      <c r="F145" s="5">
        <v>277</v>
      </c>
    </row>
    <row r="146" spans="1:6" x14ac:dyDescent="0.3">
      <c r="A146" s="4" t="s">
        <v>176</v>
      </c>
      <c r="B146" s="5">
        <v>144</v>
      </c>
      <c r="C146" s="22">
        <v>1</v>
      </c>
      <c r="D146" s="5">
        <v>237</v>
      </c>
      <c r="E146" s="22">
        <v>0.63</v>
      </c>
      <c r="F146" s="5">
        <v>278</v>
      </c>
    </row>
    <row r="147" spans="1:6" x14ac:dyDescent="0.3">
      <c r="A147" s="4" t="s">
        <v>176</v>
      </c>
      <c r="B147" s="5">
        <v>151</v>
      </c>
      <c r="C147" s="22">
        <v>0.9</v>
      </c>
      <c r="D147" s="5">
        <v>230</v>
      </c>
      <c r="E147" s="22">
        <v>0.65</v>
      </c>
      <c r="F147" s="5">
        <v>278</v>
      </c>
    </row>
    <row r="148" spans="1:6" x14ac:dyDescent="0.3">
      <c r="A148" s="4" t="s">
        <v>176</v>
      </c>
      <c r="B148" s="5">
        <v>157</v>
      </c>
      <c r="C148" s="22">
        <v>0.9</v>
      </c>
      <c r="D148" s="5">
        <v>239</v>
      </c>
      <c r="E148" s="22">
        <v>2.68</v>
      </c>
      <c r="F148" s="5">
        <v>280</v>
      </c>
    </row>
    <row r="149" spans="1:6" x14ac:dyDescent="0.3">
      <c r="A149" s="4" t="s">
        <v>176</v>
      </c>
      <c r="B149" s="5">
        <v>163</v>
      </c>
      <c r="C149" s="22">
        <v>1</v>
      </c>
      <c r="D149" s="5">
        <v>236</v>
      </c>
      <c r="E149" s="22">
        <v>0.63</v>
      </c>
      <c r="F149" s="5">
        <v>278</v>
      </c>
    </row>
    <row r="150" spans="1:6" x14ac:dyDescent="0.3">
      <c r="A150" s="4" t="s">
        <v>176</v>
      </c>
      <c r="B150" s="5">
        <v>170</v>
      </c>
      <c r="C150" s="22">
        <v>1.2</v>
      </c>
      <c r="D150" s="5">
        <v>235</v>
      </c>
      <c r="E150" s="22">
        <v>0.53</v>
      </c>
      <c r="F150" s="5">
        <v>277</v>
      </c>
    </row>
    <row r="151" spans="1:6" x14ac:dyDescent="0.3">
      <c r="A151" s="4" t="s">
        <v>176</v>
      </c>
      <c r="B151" s="5">
        <v>176</v>
      </c>
      <c r="C151" s="22">
        <v>0.9</v>
      </c>
      <c r="D151" s="5">
        <v>242</v>
      </c>
      <c r="E151" s="22">
        <v>0.41</v>
      </c>
      <c r="F151" s="5">
        <v>277</v>
      </c>
    </row>
    <row r="152" spans="1:6" x14ac:dyDescent="0.3">
      <c r="A152" s="4" t="s">
        <v>176</v>
      </c>
      <c r="B152" s="5">
        <v>182</v>
      </c>
      <c r="C152" s="22">
        <v>1</v>
      </c>
      <c r="D152" s="5">
        <v>241</v>
      </c>
      <c r="E152" s="22">
        <v>0.46</v>
      </c>
      <c r="F152" s="5">
        <v>275</v>
      </c>
    </row>
    <row r="153" spans="1:6" x14ac:dyDescent="0.3">
      <c r="A153" s="4" t="s">
        <v>176</v>
      </c>
      <c r="B153" s="5">
        <v>188</v>
      </c>
      <c r="C153" s="22">
        <v>0.8</v>
      </c>
      <c r="D153" s="5">
        <v>237</v>
      </c>
      <c r="E153" s="22">
        <v>2.81</v>
      </c>
      <c r="F153" s="5">
        <v>275</v>
      </c>
    </row>
    <row r="154" spans="1:6" x14ac:dyDescent="0.3">
      <c r="A154" s="4" t="s">
        <v>176</v>
      </c>
      <c r="B154" s="5">
        <v>194</v>
      </c>
      <c r="C154" s="22">
        <v>0.7</v>
      </c>
      <c r="D154" s="5">
        <v>234</v>
      </c>
      <c r="E154" s="22">
        <v>0.01</v>
      </c>
      <c r="F154" s="5">
        <v>272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21A8"/>
  </sheetPr>
  <dimension ref="A1:F10"/>
  <sheetViews>
    <sheetView showGridLines="0" workbookViewId="0"/>
  </sheetViews>
  <sheetFormatPr defaultRowHeight="14.4" x14ac:dyDescent="0.3"/>
  <cols>
    <col min="1" max="1" width="5" customWidth="1"/>
    <col min="2" max="2" width="26" customWidth="1"/>
    <col min="3" max="3" width="50" customWidth="1"/>
    <col min="4" max="4" width="40" customWidth="1"/>
    <col min="5" max="5" width="46" customWidth="1"/>
    <col min="6" max="6" width="12" customWidth="1"/>
  </cols>
  <sheetData>
    <row r="1" spans="1:6" ht="17.399999999999999" x14ac:dyDescent="0.3">
      <c r="A1" s="1" t="s">
        <v>192</v>
      </c>
    </row>
    <row r="2" spans="1:6" x14ac:dyDescent="0.3">
      <c r="A2" s="2" t="s">
        <v>193</v>
      </c>
    </row>
    <row r="4" spans="1:6" ht="31.95" customHeight="1" x14ac:dyDescent="0.3">
      <c r="A4" s="3" t="s">
        <v>194</v>
      </c>
      <c r="B4" s="3" t="s">
        <v>97</v>
      </c>
      <c r="C4" s="3" t="s">
        <v>195</v>
      </c>
      <c r="D4" s="3" t="s">
        <v>196</v>
      </c>
      <c r="E4" s="3" t="s">
        <v>197</v>
      </c>
      <c r="F4" s="3" t="s">
        <v>198</v>
      </c>
    </row>
    <row r="5" spans="1:6" ht="75" customHeight="1" x14ac:dyDescent="0.3">
      <c r="A5" s="23">
        <v>1</v>
      </c>
      <c r="B5" s="4" t="s">
        <v>199</v>
      </c>
      <c r="C5" s="4" t="s">
        <v>200</v>
      </c>
      <c r="D5" s="4" t="s">
        <v>201</v>
      </c>
      <c r="E5" s="4" t="s">
        <v>202</v>
      </c>
      <c r="F5" s="23" t="s">
        <v>203</v>
      </c>
    </row>
    <row r="6" spans="1:6" ht="75" customHeight="1" x14ac:dyDescent="0.3">
      <c r="A6" s="23">
        <v>2</v>
      </c>
      <c r="B6" s="4" t="s">
        <v>204</v>
      </c>
      <c r="C6" s="4" t="s">
        <v>205</v>
      </c>
      <c r="D6" s="4" t="s">
        <v>206</v>
      </c>
      <c r="E6" s="4" t="s">
        <v>207</v>
      </c>
      <c r="F6" s="23" t="s">
        <v>203</v>
      </c>
    </row>
    <row r="7" spans="1:6" ht="75" customHeight="1" x14ac:dyDescent="0.3">
      <c r="A7" s="23">
        <v>3</v>
      </c>
      <c r="B7" s="4" t="s">
        <v>208</v>
      </c>
      <c r="C7" s="4" t="s">
        <v>209</v>
      </c>
      <c r="D7" s="4" t="s">
        <v>210</v>
      </c>
      <c r="E7" s="4" t="s">
        <v>211</v>
      </c>
      <c r="F7" s="23" t="s">
        <v>203</v>
      </c>
    </row>
    <row r="8" spans="1:6" ht="75" customHeight="1" x14ac:dyDescent="0.3">
      <c r="A8" s="23">
        <v>4</v>
      </c>
      <c r="B8" s="4" t="s">
        <v>212</v>
      </c>
      <c r="C8" s="4" t="s">
        <v>213</v>
      </c>
      <c r="D8" s="4" t="s">
        <v>214</v>
      </c>
      <c r="E8" s="4" t="s">
        <v>215</v>
      </c>
      <c r="F8" s="23" t="s">
        <v>203</v>
      </c>
    </row>
    <row r="9" spans="1:6" ht="75" customHeight="1" x14ac:dyDescent="0.3">
      <c r="A9" s="23">
        <v>5</v>
      </c>
      <c r="B9" s="4" t="s">
        <v>109</v>
      </c>
      <c r="C9" s="4" t="s">
        <v>216</v>
      </c>
      <c r="D9" s="4" t="s">
        <v>217</v>
      </c>
      <c r="E9" s="4" t="s">
        <v>218</v>
      </c>
      <c r="F9" s="23" t="s">
        <v>203</v>
      </c>
    </row>
    <row r="10" spans="1:6" ht="75" customHeight="1" x14ac:dyDescent="0.3">
      <c r="A10" s="23">
        <v>6</v>
      </c>
      <c r="B10" s="4" t="s">
        <v>219</v>
      </c>
      <c r="C10" s="4" t="s">
        <v>220</v>
      </c>
      <c r="D10" s="4" t="s">
        <v>221</v>
      </c>
      <c r="E10" s="4" t="s">
        <v>222</v>
      </c>
      <c r="F10" s="23" t="s">
        <v>203</v>
      </c>
    </row>
  </sheetData>
  <conditionalFormatting sqref="F5:F10">
    <cfRule type="cellIs" dxfId="2" priority="1" operator="equal">
      <formula>"สูง"</formula>
    </cfRule>
    <cfRule type="cellIs" dxfId="1" priority="2" operator="equal">
      <formula>"กลาง"</formula>
    </cfRule>
    <cfRule type="cellIs" dxfId="0" priority="3" operator="equal">
      <formula>"ต่ำ"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สรุปผล</vt:lpstr>
      <vt:lpstr>เทียบรอบ</vt:lpstr>
      <vt:lpstr>วิธีทดสอบและเกณฑ์</vt:lpstr>
      <vt:lpstr>ผลรายเส้น API</vt:lpstr>
      <vt:lpstr>ผลตามช่วงเวลา</vt:lpstr>
      <vt:lpstr>ทรัพยากรเครื่อง</vt:lpstr>
      <vt:lpstr>ข้อสังเกต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Nanthpat Limcharoen</cp:lastModifiedBy>
  <dcterms:created xsi:type="dcterms:W3CDTF">2026-10-23T10:34:05Z</dcterms:created>
  <dcterms:modified xsi:type="dcterms:W3CDTF">2026-10-23T10:34:11Z</dcterms:modified>
</cp:coreProperties>
</file>